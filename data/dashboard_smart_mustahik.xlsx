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ENOVO\Documents\GitHub\smart-mustahik\data\"/>
    </mc:Choice>
  </mc:AlternateContent>
  <xr:revisionPtr revIDLastSave="0" documentId="13_ncr:1_{CAC4CE5A-4626-423F-9B2B-EE95219A3373}" xr6:coauthVersionLast="47" xr6:coauthVersionMax="47" xr10:uidLastSave="{00000000-0000-0000-0000-000000000000}"/>
  <bookViews>
    <workbookView xWindow="-108" yWindow="348" windowWidth="23256" windowHeight="14160" activeTab="3" xr2:uid="{00000000-000D-0000-FFFF-FFFF00000000}"/>
  </bookViews>
  <sheets>
    <sheet name="📊 Dashboard Eksekutif" sheetId="1" r:id="rId1"/>
    <sheet name="🗺️ Mustahik Geospasial Jatim" sheetId="2" r:id="rId2"/>
    <sheet name="⚖️ Evaluasi Model" sheetId="3" r:id="rId3"/>
    <sheet name="🏠 Data Rumah Tangga" sheetId="4" r:id="rId4"/>
    <sheet name="📖 Syariah &amp; Kamus Data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9" i="1" l="1"/>
  <c r="B28" i="1"/>
  <c r="J5" i="1"/>
</calcChain>
</file>

<file path=xl/sharedStrings.xml><?xml version="1.0" encoding="utf-8"?>
<sst xmlns="http://schemas.openxmlformats.org/spreadsheetml/2006/main" count="355" uniqueCount="159">
  <si>
    <t>SMART-MUSTAHIK: DASHBOARD EXECUTIVE PENYALURAN ZAKAT PRESI</t>
  </si>
  <si>
    <t>Sistem Pendukung Keputusan Penyaluran Zakat Berbasis Fiqih Kifayah (QS. At-Taubah: 60) dan Citra Satelit NTL BPS Jatim</t>
  </si>
  <si>
    <t>AKURASI SMART-MUSTAHIK</t>
  </si>
  <si>
    <t>INCLUSION ERROR RATE</t>
  </si>
  <si>
    <t>EXCLUSION ERROR RATE</t>
  </si>
  <si>
    <t>MUSTAHIK JATIM (2024)</t>
  </si>
  <si>
    <t>100.0%</t>
  </si>
  <si>
    <t>0.00%</t>
  </si>
  <si>
    <t>+20.00% vs Konvensional</t>
  </si>
  <si>
    <t>Zero Error (Salah Sasaran 0%)</t>
  </si>
  <si>
    <t>Zero Error (Terlewat 0%)</t>
  </si>
  <si>
    <t>Kabupaten/Kota Prioritas</t>
  </si>
  <si>
    <t>📌 Tabel Perbandingan Performa Klasifikasi Penyaluran Zakat</t>
  </si>
  <si>
    <t>Metode Penyaluran Zakat</t>
  </si>
  <si>
    <t>Akurasi (%)</t>
  </si>
  <si>
    <t>Precision (%)</t>
  </si>
  <si>
    <t>Recall (%)</t>
  </si>
  <si>
    <t>F1-Score (%)</t>
  </si>
  <si>
    <t>Inclusion Error (%)</t>
  </si>
  <si>
    <t>Exclusion Error (%)</t>
  </si>
  <si>
    <t>Survei Manual Konvensional</t>
  </si>
  <si>
    <t>SMART-MUSTAHIK (Random Forest)</t>
  </si>
  <si>
    <t>📌 Summary Tingkat Prioritas Zakat Kabupaten/Kota Jawa Timur (2024)</t>
  </si>
  <si>
    <t>No</t>
  </si>
  <si>
    <t>Kabupaten / Kota</t>
  </si>
  <si>
    <t>PDRB Per Kapita (Rp)</t>
  </si>
  <si>
    <t>Persentase Miskin (%)</t>
  </si>
  <si>
    <t>Satelit NTL Radiance</t>
  </si>
  <si>
    <t>Status Mustahik</t>
  </si>
  <si>
    <t>Kabupaten Bangkalan</t>
  </si>
  <si>
    <t>MUSTAHIK</t>
  </si>
  <si>
    <t>Kabupaten Banyuwangi</t>
  </si>
  <si>
    <t>NON-MUSTAHIK</t>
  </si>
  <si>
    <t>Kabupaten Blitar</t>
  </si>
  <si>
    <t>Kabupaten Bojonegoro</t>
  </si>
  <si>
    <t>Kabupaten Bondowoso</t>
  </si>
  <si>
    <t>Kabupaten Gresik</t>
  </si>
  <si>
    <t>Kabupaten Jember</t>
  </si>
  <si>
    <t>Kabupaten Jombang</t>
  </si>
  <si>
    <t>Kabupaten Kediri</t>
  </si>
  <si>
    <t>Kabupaten Lamongan</t>
  </si>
  <si>
    <t>Status</t>
  </si>
  <si>
    <t>Jumlah</t>
  </si>
  <si>
    <t>DATA GEOSPASIAL SOSIO-EKONOMI KABUPATEN / KOTA JAWA TIMUR (2020 - 2024)</t>
  </si>
  <si>
    <t>Integrasi Indikator BPS dan Satelit Penginderaan Jauh VIIRS Nighttime Lights (NTL)</t>
  </si>
  <si>
    <t>Tahun</t>
  </si>
  <si>
    <t>Total Populasi</t>
  </si>
  <si>
    <t>Jumlah Penduduk Miskin (Ribu)</t>
  </si>
  <si>
    <t>Angka Partisipasi Sekolah (%)</t>
  </si>
  <si>
    <t>Akses Sanitasi (%)</t>
  </si>
  <si>
    <t>Akses Air Minum (%)</t>
  </si>
  <si>
    <t>Hunian Layak (%)</t>
  </si>
  <si>
    <t>Tingkat Pengangguran (%)</t>
  </si>
  <si>
    <t>PDRB Per Kapita (Ribu Rp)</t>
  </si>
  <si>
    <t>Kepadatan Penduduk</t>
  </si>
  <si>
    <t>IPM</t>
  </si>
  <si>
    <t>Radiasi Satelit NTL (nW/cm²/sr)</t>
  </si>
  <si>
    <t>Pendapatan per Kapita / Bulan (Rp)</t>
  </si>
  <si>
    <t>Skor Aset</t>
  </si>
  <si>
    <t>Kabupaten Lumajang</t>
  </si>
  <si>
    <t>Kabupaten Madiun</t>
  </si>
  <si>
    <t>Kabupaten Magetan</t>
  </si>
  <si>
    <t>Kabupaten Malang</t>
  </si>
  <si>
    <t>Kabupaten Mojokerto</t>
  </si>
  <si>
    <t>Kabupaten Nganjuk</t>
  </si>
  <si>
    <t>Kabupaten Ngawi</t>
  </si>
  <si>
    <t>Kabupaten Pacitan</t>
  </si>
  <si>
    <t>Kabupaten Pamekasan</t>
  </si>
  <si>
    <t>Kabupaten Pasuruan</t>
  </si>
  <si>
    <t>Kabupaten Ponorogo</t>
  </si>
  <si>
    <t>Kabupaten Probolinggo</t>
  </si>
  <si>
    <t>Kabupaten Sampang</t>
  </si>
  <si>
    <t>Kabupaten Sidoarjo</t>
  </si>
  <si>
    <t>Kabupaten Situbondo</t>
  </si>
  <si>
    <t>Kabupaten Sumenep</t>
  </si>
  <si>
    <t>Kabupaten Trenggalek</t>
  </si>
  <si>
    <t>Kabupaten Tuban</t>
  </si>
  <si>
    <t>Kabupaten Tulungagung</t>
  </si>
  <si>
    <t>Kota Batu</t>
  </si>
  <si>
    <t>Kota Blitar</t>
  </si>
  <si>
    <t>Kota Kediri</t>
  </si>
  <si>
    <t>Kota Madiun</t>
  </si>
  <si>
    <t>Kota Malang</t>
  </si>
  <si>
    <t>Kota Mojokerto</t>
  </si>
  <si>
    <t>Kota Pasuruan</t>
  </si>
  <si>
    <t>Kota Probolinggo</t>
  </si>
  <si>
    <t>Kota Surabaya</t>
  </si>
  <si>
    <t>EVALUASI PERFORMA &amp; ANALISIS EFISIENSI PENYALURAN ZAKAT</t>
  </si>
  <si>
    <t>Perbandingan Metrik Hasil Uji Coba Metode Konvensional vs Model SMART-MUSTAHIK (Random Forest)</t>
  </si>
  <si>
    <t>📌 Tabel Hasil Pengujian (10.000 Sampel Rumah Tangga)</t>
  </si>
  <si>
    <t>💡 Implikasi &amp; Impact Penyaluran Zakat Presisi:</t>
  </si>
  <si>
    <t>1. Eliminasi Inclusion Error (Zero Inclusion Error = 0.00%):</t>
  </si>
  <si>
    <t>Model SMART-MUSTAHIK berhasil mencegah 100% dana zakat tersalurkan kepada warga mampu (Non-Mustahik). Pada metode konvensional, terdapat 12.50% dana zakat yang terbuang/salah sasaran.</t>
  </si>
  <si>
    <t>2. Eliminasi Exclusion Error (Zero Exclusion Error = 0.00%):</t>
  </si>
  <si>
    <t>Tidak ada satu pun warga fakir/miskin (Mustahik) yang terlewat dari hak penerimaan zakat. Metode manual konvensional memiliki risiko 18.75% warga miskin terabaikan.</t>
  </si>
  <si>
    <t>3. Peran Data Satelit Nighttime Lights (VIIRS NTL):</t>
  </si>
  <si>
    <t>Kecerahan cahaya malam hari satelit memberikan bukti obyektif tingkat kesejahteraan wilayah yang tidak dapat dipalsukan atau dimanipulasi saat verifikasi survei di lapangan.</t>
  </si>
  <si>
    <t>DATA MIKRO SOSIO-EKONOMI RUMAH TANGGA BPS (SINTETIS)</t>
  </si>
  <si>
    <t>Sampel 500 Rumah Tangga (Bagian dari 10.000 Sampel Dataset Evaluasi Model)</t>
  </si>
  <si>
    <t>Pendapatan per Kapita (Rp)</t>
  </si>
  <si>
    <t>Jumlah Tanggungan</t>
  </si>
  <si>
    <t>Kualitas Hunian (Skor)</t>
  </si>
  <si>
    <t>Akses Sanitasi (Skor)</t>
  </si>
  <si>
    <t>Radiasi Satelit NTL</t>
  </si>
  <si>
    <t>LANDASAN SYARIAH &amp; KAMUS DATA SMART-MUSTAHIK</t>
  </si>
  <si>
    <t>Surah At-Taubah Ayat 60, Formulasi Fiqih Had Kifayah, &amp; Glosarium Indikator Geospasial</t>
  </si>
  <si>
    <t>📌 1. Landasan Syariat: Al-Qur'an Surah At-Taubah Ayat 60</t>
  </si>
  <si>
    <t>إِنَّمَا الصَّدَقَاتُ لِلْفُقَرَاءِ وَالْمَسَاكِينِ وَالْعَامِلِينَ عَلَيْهَا وَالْمُؤَلَّفَةِ قُلُوبُهُمْ وَفِي الرِّقَابِ وَالْغَارِمِينَ وَفِي سَبِيلِ اللَّهِ وَابْنِ السَّبِيلِ ۖ فَرِيضَةً مِّنَ اللَّهِ ۗ وَاللَّهُ عَلِيمٌ حَكِيمٌ</t>
  </si>
  <si>
    <t>Artinya: 'Sesungguhnya zakat-zakat itu, hanyalah untuk orang-orang fakir, orang-orang miskin, pengurus-pengurus zakat, para mu'allaf yang dibujuk hatinya, untuk (memerdekakan) budak, orang-orang yang berhutang, untuk jalan Allah dan untuk mereka yang sedang dalam perjalanan, sebagai suatu ketetapan yang diwajibkan Allah, dan Allah Maha Mengetahui lagi Maha Bijaksana.'</t>
  </si>
  <si>
    <t>📌 2. Formulasi Klasifikasi Had Kifayah (Ground Truth)</t>
  </si>
  <si>
    <t>Kriteria Fakir / Sangat Miskin:</t>
  </si>
  <si>
    <t>Pendapatan per Kapita &lt; 50% Had Kifayah DAN Kualitas Hunian &lt;= 2 (Skor Hunian Buruk)</t>
  </si>
  <si>
    <t>Kriteria Miskin:</t>
  </si>
  <si>
    <t>Pendapatan per Kapita &lt; Had Kifayah DAN Skor Aset &lt; 40</t>
  </si>
  <si>
    <t>Status Mustahik (1):</t>
  </si>
  <si>
    <t>Memenuhi salah satu kriteria Fakir atau Miskin di atas.</t>
  </si>
  <si>
    <t>Status Non-Mustahik (0):</t>
  </si>
  <si>
    <t>Memiliki pendapatan &amp; aset di atas ambang kecukupan Had Kifayah.</t>
  </si>
  <si>
    <t>📌 3. Kamus Data &amp; Definisi Fitur (Data Dictionary)</t>
  </si>
  <si>
    <t>Nama Fitur / Variable</t>
  </si>
  <si>
    <t>Tipe Data</t>
  </si>
  <si>
    <t>Satuan</t>
  </si>
  <si>
    <t>Sumber Data</t>
  </si>
  <si>
    <t>Keterangan &amp; Deskripsi</t>
  </si>
  <si>
    <t>regency_city</t>
  </si>
  <si>
    <t>String</t>
  </si>
  <si>
    <t>Wilayah</t>
  </si>
  <si>
    <t>BPS Jatim</t>
  </si>
  <si>
    <t>Nama Kabupaten atau Kota di Provinsi Jawa Timur</t>
  </si>
  <si>
    <t>year</t>
  </si>
  <si>
    <t>Integer</t>
  </si>
  <si>
    <t>Tahun pengamatan indikator (2020 - 2024)</t>
  </si>
  <si>
    <t>total_population</t>
  </si>
  <si>
    <t>Float</t>
  </si>
  <si>
    <t>Jiwa</t>
  </si>
  <si>
    <t>Jumlah total penduduk wilayah</t>
  </si>
  <si>
    <t>poverty_percentage</t>
  </si>
  <si>
    <t>%</t>
  </si>
  <si>
    <t>Persentase penduduk miskin menurut BPS</t>
  </si>
  <si>
    <t>gdp_per_capita</t>
  </si>
  <si>
    <t>Ribu Rp</t>
  </si>
  <si>
    <t>Produk Domestik Regional Bruto (PDRB) per kapita</t>
  </si>
  <si>
    <t>radiasi_satelit_ntl</t>
  </si>
  <si>
    <t>nW/cm²/sr</t>
  </si>
  <si>
    <t>NOAA / VIIRS Satellite</t>
  </si>
  <si>
    <t>Intensitas rata-rata pancaran cahaya malam hari (Nighttime Lights)</t>
  </si>
  <si>
    <t>pendapatan_per_kapita_bulan</t>
  </si>
  <si>
    <t>Rp / Bulan</t>
  </si>
  <si>
    <t>Model Estimasi BPS</t>
  </si>
  <si>
    <t>Rata-rata pendapatan rumah tangga per bulan</t>
  </si>
  <si>
    <t>skor_aset</t>
  </si>
  <si>
    <t>Skor (0-100)</t>
  </si>
  <si>
    <t>Indeks Komposit BPS</t>
  </si>
  <si>
    <t>Skor kepemilikan aset rumah tangga (elektronik, kendaraan, dll)</t>
  </si>
  <si>
    <t>status_mustahik</t>
  </si>
  <si>
    <t>Binary</t>
  </si>
  <si>
    <t>0 atau 1</t>
  </si>
  <si>
    <t>SMART-MUSTAHIK</t>
  </si>
  <si>
    <t>1 = Berhak Menerima Zakat (Mustahik), 0 = Kelompok Mampu (Non-Mustahik)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</si>
</sst>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&quot;%&quot;"/>
    <numFmt numFmtId="165" formatCode="\R\p\ #,##0"/>
  </numFmts>
  <fonts count="13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1"/>
      <color rgb="FFE2E8F0"/>
      <name val="Calibri"/>
    </font>
    <font>
      <b/>
      <sz val="10"/>
      <color rgb="FF4B5563"/>
      <name val="Calibri"/>
    </font>
    <font>
      <b/>
      <sz val="18"/>
      <color rgb="FF1E4D3B"/>
      <name val="Calibri"/>
    </font>
    <font>
      <i/>
      <sz val="9"/>
      <color rgb="FF4B5563"/>
      <name val="Calibri"/>
    </font>
    <font>
      <b/>
      <sz val="18"/>
      <color rgb="FF2D6A4F"/>
      <name val="Calibri"/>
    </font>
    <font>
      <b/>
      <sz val="18"/>
      <color rgb="FF0369A1"/>
      <name val="Calibri"/>
    </font>
    <font>
      <b/>
      <sz val="13"/>
      <color rgb="FF1E4D3B"/>
      <name val="Calibri"/>
    </font>
    <font>
      <b/>
      <sz val="11"/>
      <color rgb="FFFFFFFF"/>
      <name val="Calibri"/>
    </font>
    <font>
      <sz val="11"/>
      <color rgb="FF1F2937"/>
      <name val="Calibri"/>
    </font>
    <font>
      <b/>
      <sz val="11"/>
      <color rgb="FF1F2937"/>
      <name val="Calibri"/>
    </font>
    <font>
      <b/>
      <sz val="14"/>
      <color rgb="FF1E4D3B"/>
      <name val="Traditional Arabic"/>
    </font>
  </fonts>
  <fills count="10">
    <fill>
      <patternFill patternType="none"/>
    </fill>
    <fill>
      <patternFill patternType="gray125"/>
    </fill>
    <fill>
      <patternFill patternType="solid">
        <fgColor rgb="FF1E4D3B"/>
        <bgColor rgb="FF1E4D3B"/>
      </patternFill>
    </fill>
    <fill>
      <patternFill patternType="solid">
        <fgColor rgb="FFE8F5E9"/>
        <bgColor rgb="FFE8F5E9"/>
      </patternFill>
    </fill>
    <fill>
      <patternFill patternType="solid">
        <fgColor rgb="FFE0F2FE"/>
        <bgColor rgb="FFE0F2FE"/>
      </patternFill>
    </fill>
    <fill>
      <patternFill patternType="solid">
        <fgColor rgb="FF2D6A4F"/>
        <bgColor rgb="FF2D6A4F"/>
      </patternFill>
    </fill>
    <fill>
      <patternFill patternType="solid">
        <fgColor rgb="FFF0FDF4"/>
        <bgColor rgb="FFF0FDF4"/>
      </patternFill>
    </fill>
    <fill>
      <patternFill patternType="solid">
        <fgColor rgb="FF40916C"/>
        <bgColor rgb="FF40916C"/>
      </patternFill>
    </fill>
    <fill>
      <patternFill patternType="solid">
        <fgColor rgb="FFFEE2E2"/>
        <bgColor rgb="FFFEE2E2"/>
      </patternFill>
    </fill>
    <fill>
      <patternFill patternType="solid">
        <fgColor rgb="FFDCFCE7"/>
        <bgColor rgb="FFDCFCE7"/>
      </patternFill>
    </fill>
  </fills>
  <borders count="26">
    <border>
      <left/>
      <right/>
      <top/>
      <bottom/>
      <diagonal/>
    </border>
    <border>
      <left style="medium">
        <color rgb="FF1E4D3B"/>
      </left>
      <right style="medium">
        <color rgb="FF1E4D3B"/>
      </right>
      <top style="medium">
        <color rgb="FF1E4D3B"/>
      </top>
      <bottom/>
      <diagonal/>
    </border>
    <border>
      <left/>
      <right/>
      <top style="medium">
        <color rgb="FF1E4D3B"/>
      </top>
      <bottom/>
      <diagonal/>
    </border>
    <border>
      <left/>
      <right style="medium">
        <color rgb="FF1E4D3B"/>
      </right>
      <top style="medium">
        <color rgb="FF1E4D3B"/>
      </top>
      <bottom/>
      <diagonal/>
    </border>
    <border>
      <left style="medium">
        <color rgb="FF1E4D3B"/>
      </left>
      <right style="medium">
        <color rgb="FF1E4D3B"/>
      </right>
      <top/>
      <bottom/>
      <diagonal/>
    </border>
    <border>
      <left/>
      <right style="medium">
        <color rgb="FF1E4D3B"/>
      </right>
      <top/>
      <bottom/>
      <diagonal/>
    </border>
    <border>
      <left style="medium">
        <color rgb="FF1E4D3B"/>
      </left>
      <right style="medium">
        <color rgb="FF1E4D3B"/>
      </right>
      <top/>
      <bottom style="medium">
        <color rgb="FF1E4D3B"/>
      </bottom>
      <diagonal/>
    </border>
    <border>
      <left/>
      <right/>
      <top/>
      <bottom style="medium">
        <color rgb="FF1E4D3B"/>
      </bottom>
      <diagonal/>
    </border>
    <border>
      <left/>
      <right style="medium">
        <color rgb="FF1E4D3B"/>
      </right>
      <top/>
      <bottom style="medium">
        <color rgb="FF1E4D3B"/>
      </bottom>
      <diagonal/>
    </border>
    <border>
      <left style="medium">
        <color rgb="FF2D6A4F"/>
      </left>
      <right style="medium">
        <color rgb="FF2D6A4F"/>
      </right>
      <top style="medium">
        <color rgb="FF2D6A4F"/>
      </top>
      <bottom/>
      <diagonal/>
    </border>
    <border>
      <left/>
      <right/>
      <top style="medium">
        <color rgb="FF2D6A4F"/>
      </top>
      <bottom/>
      <diagonal/>
    </border>
    <border>
      <left/>
      <right style="medium">
        <color rgb="FF2D6A4F"/>
      </right>
      <top style="medium">
        <color rgb="FF2D6A4F"/>
      </top>
      <bottom/>
      <diagonal/>
    </border>
    <border>
      <left style="medium">
        <color rgb="FF2D6A4F"/>
      </left>
      <right style="medium">
        <color rgb="FF2D6A4F"/>
      </right>
      <top/>
      <bottom/>
      <diagonal/>
    </border>
    <border>
      <left/>
      <right style="medium">
        <color rgb="FF2D6A4F"/>
      </right>
      <top/>
      <bottom/>
      <diagonal/>
    </border>
    <border>
      <left style="medium">
        <color rgb="FF2D6A4F"/>
      </left>
      <right style="medium">
        <color rgb="FF2D6A4F"/>
      </right>
      <top/>
      <bottom style="medium">
        <color rgb="FF2D6A4F"/>
      </bottom>
      <diagonal/>
    </border>
    <border>
      <left/>
      <right/>
      <top/>
      <bottom style="medium">
        <color rgb="FF2D6A4F"/>
      </bottom>
      <diagonal/>
    </border>
    <border>
      <left/>
      <right style="medium">
        <color rgb="FF2D6A4F"/>
      </right>
      <top/>
      <bottom style="medium">
        <color rgb="FF2D6A4F"/>
      </bottom>
      <diagonal/>
    </border>
    <border>
      <left style="medium">
        <color rgb="FF0369A1"/>
      </left>
      <right style="medium">
        <color rgb="FF0369A1"/>
      </right>
      <top style="medium">
        <color rgb="FF0369A1"/>
      </top>
      <bottom/>
      <diagonal/>
    </border>
    <border>
      <left/>
      <right/>
      <top style="medium">
        <color rgb="FF0369A1"/>
      </top>
      <bottom/>
      <diagonal/>
    </border>
    <border>
      <left/>
      <right style="medium">
        <color rgb="FF0369A1"/>
      </right>
      <top style="medium">
        <color rgb="FF0369A1"/>
      </top>
      <bottom/>
      <diagonal/>
    </border>
    <border>
      <left style="medium">
        <color rgb="FF0369A1"/>
      </left>
      <right style="medium">
        <color rgb="FF0369A1"/>
      </right>
      <top/>
      <bottom/>
      <diagonal/>
    </border>
    <border>
      <left/>
      <right style="medium">
        <color rgb="FF0369A1"/>
      </right>
      <top/>
      <bottom/>
      <diagonal/>
    </border>
    <border>
      <left style="medium">
        <color rgb="FF0369A1"/>
      </left>
      <right style="medium">
        <color rgb="FF0369A1"/>
      </right>
      <top/>
      <bottom style="medium">
        <color rgb="FF0369A1"/>
      </bottom>
      <diagonal/>
    </border>
    <border>
      <left/>
      <right/>
      <top/>
      <bottom style="medium">
        <color rgb="FF0369A1"/>
      </bottom>
      <diagonal/>
    </border>
    <border>
      <left/>
      <right style="medium">
        <color rgb="FF0369A1"/>
      </right>
      <top/>
      <bottom style="medium">
        <color rgb="FF0369A1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8" fillId="0" borderId="0" xfId="0" applyFont="1"/>
    <xf numFmtId="0" fontId="9" fillId="5" borderId="25" xfId="0" applyFont="1" applyFill="1" applyBorder="1" applyAlignment="1">
      <alignment horizontal="center" vertical="center" wrapText="1"/>
    </xf>
    <xf numFmtId="0" fontId="10" fillId="0" borderId="25" xfId="0" applyFont="1" applyBorder="1" applyAlignment="1">
      <alignment horizontal="left" vertical="center"/>
    </xf>
    <xf numFmtId="164" fontId="10" fillId="0" borderId="25" xfId="0" applyNumberFormat="1" applyFont="1" applyBorder="1" applyAlignment="1">
      <alignment horizontal="right" vertical="center"/>
    </xf>
    <xf numFmtId="0" fontId="11" fillId="6" borderId="25" xfId="0" applyFont="1" applyFill="1" applyBorder="1" applyAlignment="1">
      <alignment horizontal="left" vertical="center"/>
    </xf>
    <xf numFmtId="164" fontId="11" fillId="6" borderId="25" xfId="0" applyNumberFormat="1" applyFont="1" applyFill="1" applyBorder="1" applyAlignment="1">
      <alignment horizontal="right" vertical="center"/>
    </xf>
    <xf numFmtId="0" fontId="9" fillId="7" borderId="25" xfId="0" applyFont="1" applyFill="1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5" xfId="0" applyBorder="1" applyAlignment="1">
      <alignment horizontal="left" vertical="center"/>
    </xf>
    <xf numFmtId="165" fontId="0" fillId="0" borderId="25" xfId="0" applyNumberFormat="1" applyBorder="1" applyAlignment="1">
      <alignment horizontal="right" vertical="center"/>
    </xf>
    <xf numFmtId="10" fontId="0" fillId="0" borderId="25" xfId="0" applyNumberFormat="1" applyBorder="1" applyAlignment="1">
      <alignment horizontal="right" vertical="center"/>
    </xf>
    <xf numFmtId="2" fontId="0" fillId="0" borderId="25" xfId="0" applyNumberFormat="1" applyBorder="1" applyAlignment="1">
      <alignment horizontal="right" vertical="center"/>
    </xf>
    <xf numFmtId="0" fontId="11" fillId="8" borderId="25" xfId="0" applyFont="1" applyFill="1" applyBorder="1" applyAlignment="1">
      <alignment horizontal="center" vertical="center" wrapText="1"/>
    </xf>
    <xf numFmtId="0" fontId="11" fillId="9" borderId="25" xfId="0" applyFont="1" applyFill="1" applyBorder="1" applyAlignment="1">
      <alignment horizontal="center" vertical="center" wrapText="1"/>
    </xf>
    <xf numFmtId="0" fontId="11" fillId="0" borderId="0" xfId="0" applyFont="1"/>
    <xf numFmtId="0" fontId="10" fillId="0" borderId="25" xfId="0" applyFont="1" applyBorder="1" applyAlignment="1">
      <alignment horizontal="center" vertical="center" wrapText="1"/>
    </xf>
    <xf numFmtId="3" fontId="10" fillId="0" borderId="25" xfId="0" applyNumberFormat="1" applyFont="1" applyBorder="1" applyAlignment="1">
      <alignment horizontal="right" vertical="center"/>
    </xf>
    <xf numFmtId="2" fontId="10" fillId="0" borderId="25" xfId="0" applyNumberFormat="1" applyFont="1" applyBorder="1" applyAlignment="1">
      <alignment horizontal="right" vertical="center"/>
    </xf>
    <xf numFmtId="165" fontId="10" fillId="0" borderId="25" xfId="0" applyNumberFormat="1" applyFont="1" applyBorder="1" applyAlignment="1">
      <alignment horizontal="right" vertical="center"/>
    </xf>
    <xf numFmtId="0" fontId="10" fillId="6" borderId="25" xfId="0" applyFont="1" applyFill="1" applyBorder="1" applyAlignment="1">
      <alignment horizontal="left" vertical="center"/>
    </xf>
    <xf numFmtId="0" fontId="10" fillId="6" borderId="25" xfId="0" applyFont="1" applyFill="1" applyBorder="1" applyAlignment="1">
      <alignment horizontal="center" vertical="center" wrapText="1"/>
    </xf>
    <xf numFmtId="3" fontId="10" fillId="6" borderId="25" xfId="0" applyNumberFormat="1" applyFont="1" applyFill="1" applyBorder="1" applyAlignment="1">
      <alignment horizontal="right" vertical="center"/>
    </xf>
    <xf numFmtId="2" fontId="10" fillId="6" borderId="25" xfId="0" applyNumberFormat="1" applyFont="1" applyFill="1" applyBorder="1" applyAlignment="1">
      <alignment horizontal="right" vertical="center"/>
    </xf>
    <xf numFmtId="165" fontId="10" fillId="6" borderId="25" xfId="0" applyNumberFormat="1" applyFont="1" applyFill="1" applyBorder="1" applyAlignment="1">
      <alignment horizontal="right" vertical="center"/>
    </xf>
    <xf numFmtId="3" fontId="10" fillId="0" borderId="25" xfId="0" applyNumberFormat="1" applyFont="1" applyBorder="1" applyAlignment="1">
      <alignment horizontal="center" vertical="center" wrapText="1"/>
    </xf>
    <xf numFmtId="3" fontId="10" fillId="6" borderId="25" xfId="0" applyNumberFormat="1" applyFont="1" applyFill="1" applyBorder="1" applyAlignment="1">
      <alignment horizontal="center" vertical="center" wrapText="1"/>
    </xf>
    <xf numFmtId="0" fontId="11" fillId="0" borderId="25" xfId="0" applyFont="1" applyBorder="1" applyAlignment="1">
      <alignment horizontal="left" vertical="center"/>
    </xf>
    <xf numFmtId="0" fontId="7" fillId="4" borderId="20" xfId="0" applyFont="1" applyFill="1" applyBorder="1" applyAlignment="1">
      <alignment horizontal="center" vertical="center"/>
    </xf>
    <xf numFmtId="0" fontId="0" fillId="0" borderId="0" xfId="0"/>
    <xf numFmtId="0" fontId="0" fillId="0" borderId="21" xfId="0" applyBorder="1"/>
    <xf numFmtId="0" fontId="5" fillId="4" borderId="22" xfId="0" applyFont="1" applyFill="1" applyBorder="1" applyAlignment="1">
      <alignment horizontal="center" vertical="center"/>
    </xf>
    <xf numFmtId="0" fontId="0" fillId="0" borderId="23" xfId="0" applyBorder="1"/>
    <xf numFmtId="0" fontId="0" fillId="0" borderId="24" xfId="0" applyBorder="1"/>
    <xf numFmtId="0" fontId="6" fillId="3" borderId="12" xfId="0" applyFont="1" applyFill="1" applyBorder="1" applyAlignment="1">
      <alignment horizontal="center" vertical="center"/>
    </xf>
    <xf numFmtId="0" fontId="0" fillId="0" borderId="13" xfId="0" applyBorder="1"/>
    <xf numFmtId="0" fontId="4" fillId="3" borderId="4" xfId="0" applyFont="1" applyFill="1" applyBorder="1" applyAlignment="1">
      <alignment horizontal="center" vertical="center"/>
    </xf>
    <xf numFmtId="0" fontId="0" fillId="0" borderId="5" xfId="0" applyBorder="1"/>
    <xf numFmtId="0" fontId="5" fillId="3" borderId="14" xfId="0" applyFont="1" applyFill="1" applyBorder="1" applyAlignment="1">
      <alignment horizontal="center" vertical="center"/>
    </xf>
    <xf numFmtId="0" fontId="0" fillId="0" borderId="15" xfId="0" applyBorder="1"/>
    <xf numFmtId="0" fontId="0" fillId="0" borderId="16" xfId="0" applyBorder="1"/>
    <xf numFmtId="0" fontId="2" fillId="2" borderId="0" xfId="0" applyFont="1" applyFill="1" applyAlignment="1">
      <alignment horizontal="left" vertical="center" indent="1"/>
    </xf>
    <xf numFmtId="0" fontId="5" fillId="3" borderId="6" xfId="0" applyFont="1" applyFill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3" fillId="3" borderId="9" xfId="0" applyFont="1" applyFill="1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3" fillId="4" borderId="17" xfId="0" applyFont="1" applyFill="1" applyBorder="1" applyAlignment="1">
      <alignment horizontal="center" vertical="center"/>
    </xf>
    <xf numFmtId="0" fontId="0" fillId="0" borderId="18" xfId="0" applyBorder="1"/>
    <xf numFmtId="0" fontId="0" fillId="0" borderId="19" xfId="0" applyBorder="1"/>
    <xf numFmtId="0" fontId="3" fillId="3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" fillId="2" borderId="0" xfId="0" applyFont="1" applyFill="1" applyAlignment="1">
      <alignment horizontal="left" vertical="center" indent="1"/>
    </xf>
    <xf numFmtId="0" fontId="10" fillId="0" borderId="0" xfId="0" applyFont="1" applyAlignment="1">
      <alignment horizontal="left" vertical="center" wrapText="1"/>
    </xf>
    <xf numFmtId="0" fontId="10" fillId="0" borderId="0" xfId="0" applyFont="1"/>
    <xf numFmtId="0" fontId="1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Perbandingan Inclusion &amp; Exclusion Error Rate (%)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'📊 Dashboard Eksekutif'!$F$9</c:f>
              <c:strCache>
                <c:ptCount val="1"/>
                <c:pt idx="0">
                  <c:v>Inclusion Error (%)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'📊 Dashboard Eksekutif'!$A$10:$A$11</c:f>
              <c:strCache>
                <c:ptCount val="2"/>
                <c:pt idx="0">
                  <c:v>Survei Manual Konvensional</c:v>
                </c:pt>
                <c:pt idx="1">
                  <c:v>SMART-MUSTAHIK (Random Forest)</c:v>
                </c:pt>
              </c:strCache>
            </c:strRef>
          </c:cat>
          <c:val>
            <c:numRef>
              <c:f>'📊 Dashboard Eksekutif'!$F$10:$F$11</c:f>
              <c:numCache>
                <c:formatCode>0.00"%"</c:formatCode>
                <c:ptCount val="2"/>
                <c:pt idx="0">
                  <c:v>12.5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39-49E1-B311-EE43D9469E7E}"/>
            </c:ext>
          </c:extLst>
        </c:ser>
        <c:ser>
          <c:idx val="1"/>
          <c:order val="1"/>
          <c:tx>
            <c:strRef>
              <c:f>'📊 Dashboard Eksekutif'!$G$9</c:f>
              <c:strCache>
                <c:ptCount val="1"/>
                <c:pt idx="0">
                  <c:v>Exclusion Error (%)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'📊 Dashboard Eksekutif'!$A$10:$A$11</c:f>
              <c:strCache>
                <c:ptCount val="2"/>
                <c:pt idx="0">
                  <c:v>Survei Manual Konvensional</c:v>
                </c:pt>
                <c:pt idx="1">
                  <c:v>SMART-MUSTAHIK (Random Forest)</c:v>
                </c:pt>
              </c:strCache>
            </c:strRef>
          </c:cat>
          <c:val>
            <c:numRef>
              <c:f>'📊 Dashboard Eksekutif'!$G$10:$G$11</c:f>
              <c:numCache>
                <c:formatCode>0.00"%"</c:formatCode>
                <c:ptCount val="2"/>
                <c:pt idx="0">
                  <c:v>18.75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39-49E1-B311-EE43D9469E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Metode Penyaluran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Persentase Error (%)</a:t>
                </a:r>
              </a:p>
            </c:rich>
          </c:tx>
          <c:overlay val="1"/>
        </c:title>
        <c:numFmt formatCode="0.00&quot;%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Proporsi Mustahik vs Non-Mustahik Jawa Timur (2024)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'📊 Dashboard Eksekutif'!$B$27</c:f>
              <c:strCache>
                <c:ptCount val="1"/>
                <c:pt idx="0">
                  <c:v>Jumlah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'📊 Dashboard Eksekutif'!$A$28:$A$29</c:f>
              <c:strCache>
                <c:ptCount val="2"/>
                <c:pt idx="0">
                  <c:v>MUSTAHIK</c:v>
                </c:pt>
                <c:pt idx="1">
                  <c:v>NON-MUSTAHIK</c:v>
                </c:pt>
              </c:strCache>
            </c:strRef>
          </c:cat>
          <c:val>
            <c:numRef>
              <c:f>'📊 Dashboard Eksekutif'!$B$28:$B$29</c:f>
              <c:numCache>
                <c:formatCode>General</c:formatCode>
                <c:ptCount val="2"/>
                <c:pt idx="0">
                  <c:v>24</c:v>
                </c:pt>
                <c:pt idx="1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DA-4B6A-9C66-8069BA1B5D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190500</xdr:colOff>
      <xdr:row>7</xdr:row>
      <xdr:rowOff>42333</xdr:rowOff>
    </xdr:from>
    <xdr:ext cx="576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190499</xdr:colOff>
      <xdr:row>22</xdr:row>
      <xdr:rowOff>222250</xdr:rowOff>
    </xdr:from>
    <xdr:ext cx="5040000" cy="32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opLeftCell="A3" zoomScale="72" workbookViewId="0">
      <selection activeCell="C31" sqref="C31"/>
    </sheetView>
  </sheetViews>
  <sheetFormatPr defaultRowHeight="14.4"/>
  <cols>
    <col min="1" max="2" width="40" customWidth="1"/>
    <col min="3" max="3" width="24" customWidth="1"/>
    <col min="4" max="4" width="25" customWidth="1"/>
    <col min="5" max="5" width="24" customWidth="1"/>
    <col min="6" max="6" width="23" customWidth="1"/>
    <col min="7" max="7" width="24" customWidth="1"/>
    <col min="8" max="9" width="12" customWidth="1"/>
    <col min="10" max="10" width="25" customWidth="1"/>
    <col min="11" max="14" width="12" customWidth="1"/>
  </cols>
  <sheetData>
    <row r="1" spans="1:14" ht="25.05" customHeight="1">
      <c r="A1" s="54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2" spans="1:14" ht="18" customHeight="1">
      <c r="A2" s="41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</row>
    <row r="4" spans="1:14" ht="18" customHeight="1">
      <c r="A4" s="51" t="s">
        <v>2</v>
      </c>
      <c r="B4" s="52"/>
      <c r="C4" s="53"/>
      <c r="D4" s="45" t="s">
        <v>3</v>
      </c>
      <c r="E4" s="46"/>
      <c r="F4" s="47"/>
      <c r="G4" s="45" t="s">
        <v>4</v>
      </c>
      <c r="H4" s="46"/>
      <c r="I4" s="47"/>
      <c r="J4" s="48" t="s">
        <v>5</v>
      </c>
      <c r="K4" s="49"/>
      <c r="L4" s="50"/>
    </row>
    <row r="5" spans="1:14" ht="28.05" customHeight="1">
      <c r="A5" s="36" t="s">
        <v>6</v>
      </c>
      <c r="B5" s="29"/>
      <c r="C5" s="37"/>
      <c r="D5" s="34" t="s">
        <v>7</v>
      </c>
      <c r="E5" s="29"/>
      <c r="F5" s="35"/>
      <c r="G5" s="34" t="s">
        <v>7</v>
      </c>
      <c r="H5" s="29"/>
      <c r="I5" s="35"/>
      <c r="J5" s="28">
        <f>COUNTIFS('🗺️ Mustahik Geospasial Jatim'!B6:B195, 2024, '🗺️ Mustahik Geospasial Jatim'!Q6:Q195, 1)</f>
        <v>24</v>
      </c>
      <c r="K5" s="29"/>
      <c r="L5" s="30"/>
    </row>
    <row r="6" spans="1:14" ht="16.05" customHeight="1">
      <c r="A6" s="42" t="s">
        <v>8</v>
      </c>
      <c r="B6" s="43"/>
      <c r="C6" s="44"/>
      <c r="D6" s="38" t="s">
        <v>9</v>
      </c>
      <c r="E6" s="39"/>
      <c r="F6" s="40"/>
      <c r="G6" s="38" t="s">
        <v>10</v>
      </c>
      <c r="H6" s="39"/>
      <c r="I6" s="40"/>
      <c r="J6" s="31" t="s">
        <v>11</v>
      </c>
      <c r="K6" s="32"/>
      <c r="L6" s="33"/>
    </row>
    <row r="8" spans="1:14" ht="17.399999999999999">
      <c r="A8" s="1" t="s">
        <v>12</v>
      </c>
    </row>
    <row r="9" spans="1:14" ht="24" customHeight="1">
      <c r="A9" s="2" t="s">
        <v>13</v>
      </c>
      <c r="B9" s="2" t="s">
        <v>14</v>
      </c>
      <c r="C9" s="2" t="s">
        <v>15</v>
      </c>
      <c r="D9" s="2" t="s">
        <v>16</v>
      </c>
      <c r="E9" s="2" t="s">
        <v>17</v>
      </c>
      <c r="F9" s="2" t="s">
        <v>18</v>
      </c>
      <c r="G9" s="2" t="s">
        <v>19</v>
      </c>
    </row>
    <row r="10" spans="1:14" ht="19.95" customHeight="1">
      <c r="A10" s="3" t="s">
        <v>20</v>
      </c>
      <c r="B10" s="4">
        <v>83.33</v>
      </c>
      <c r="C10" s="4">
        <v>92.86</v>
      </c>
      <c r="D10" s="4">
        <v>81.25</v>
      </c>
      <c r="E10" s="4">
        <v>86.67</v>
      </c>
      <c r="F10" s="4">
        <v>12.5</v>
      </c>
      <c r="G10" s="4">
        <v>18.75</v>
      </c>
    </row>
    <row r="11" spans="1:14" ht="19.95" customHeight="1">
      <c r="A11" s="5" t="s">
        <v>21</v>
      </c>
      <c r="B11" s="6">
        <v>100</v>
      </c>
      <c r="C11" s="6">
        <v>100</v>
      </c>
      <c r="D11" s="6">
        <v>100</v>
      </c>
      <c r="E11" s="6">
        <v>100</v>
      </c>
      <c r="F11" s="6">
        <v>0</v>
      </c>
      <c r="G11" s="6">
        <v>0</v>
      </c>
    </row>
    <row r="14" spans="1:14" ht="17.399999999999999">
      <c r="A14" s="1" t="s">
        <v>22</v>
      </c>
    </row>
    <row r="15" spans="1:14" ht="22.05" customHeight="1">
      <c r="A15" s="7" t="s">
        <v>23</v>
      </c>
      <c r="B15" s="7" t="s">
        <v>24</v>
      </c>
      <c r="C15" s="7" t="s">
        <v>25</v>
      </c>
      <c r="D15" s="7" t="s">
        <v>26</v>
      </c>
      <c r="E15" s="7" t="s">
        <v>27</v>
      </c>
      <c r="F15" s="7" t="s">
        <v>28</v>
      </c>
    </row>
    <row r="16" spans="1:14" ht="19.05" customHeight="1">
      <c r="A16" s="8">
        <v>1</v>
      </c>
      <c r="B16" s="9" t="s">
        <v>29</v>
      </c>
      <c r="C16" s="10">
        <v>26066400</v>
      </c>
      <c r="D16" s="11">
        <v>0.19439999999999999</v>
      </c>
      <c r="E16" s="12">
        <v>15.212940039237861</v>
      </c>
      <c r="F16" s="13" t="s">
        <v>30</v>
      </c>
    </row>
    <row r="17" spans="1:6" ht="19.05" customHeight="1">
      <c r="A17" s="8">
        <v>2</v>
      </c>
      <c r="B17" s="9" t="s">
        <v>31</v>
      </c>
      <c r="C17" s="10">
        <v>62085600</v>
      </c>
      <c r="D17" s="11">
        <v>7.51E-2</v>
      </c>
      <c r="E17" s="12">
        <v>17.655278381599711</v>
      </c>
      <c r="F17" s="14" t="s">
        <v>32</v>
      </c>
    </row>
    <row r="18" spans="1:6" ht="19.05" customHeight="1">
      <c r="A18" s="8">
        <v>3</v>
      </c>
      <c r="B18" s="9" t="s">
        <v>33</v>
      </c>
      <c r="C18" s="10">
        <v>37810600</v>
      </c>
      <c r="D18" s="11">
        <v>8.7100000000000011E-2</v>
      </c>
      <c r="E18" s="12">
        <v>14.160967430690359</v>
      </c>
      <c r="F18" s="14" t="s">
        <v>32</v>
      </c>
    </row>
    <row r="19" spans="1:6" ht="19.05" customHeight="1">
      <c r="A19" s="8">
        <v>4</v>
      </c>
      <c r="B19" s="9" t="s">
        <v>34</v>
      </c>
      <c r="C19" s="10">
        <v>76808400</v>
      </c>
      <c r="D19" s="11">
        <v>0.1221</v>
      </c>
      <c r="E19" s="12">
        <v>16.04056529973613</v>
      </c>
      <c r="F19" s="13" t="s">
        <v>30</v>
      </c>
    </row>
    <row r="20" spans="1:6" ht="19.05" customHeight="1">
      <c r="A20" s="8">
        <v>5</v>
      </c>
      <c r="B20" s="9" t="s">
        <v>35</v>
      </c>
      <c r="C20" s="10">
        <v>33500900</v>
      </c>
      <c r="D20" s="11">
        <v>0.13469999999999999</v>
      </c>
      <c r="E20" s="12">
        <v>14.859767892499271</v>
      </c>
      <c r="F20" s="13" t="s">
        <v>30</v>
      </c>
    </row>
    <row r="21" spans="1:6" ht="19.05" customHeight="1">
      <c r="A21" s="8">
        <v>6</v>
      </c>
      <c r="B21" s="9" t="s">
        <v>36</v>
      </c>
      <c r="C21" s="10">
        <v>138271200</v>
      </c>
      <c r="D21" s="11">
        <v>0.1106</v>
      </c>
      <c r="E21" s="12">
        <v>19.602758699127762</v>
      </c>
      <c r="F21" s="13" t="s">
        <v>30</v>
      </c>
    </row>
    <row r="22" spans="1:6" ht="19.05" customHeight="1">
      <c r="A22" s="8">
        <v>7</v>
      </c>
      <c r="B22" s="9" t="s">
        <v>37</v>
      </c>
      <c r="C22" s="10">
        <v>39464300</v>
      </c>
      <c r="D22" s="11">
        <v>9.3900000000000011E-2</v>
      </c>
      <c r="E22" s="12">
        <v>17.428368891622021</v>
      </c>
      <c r="F22" s="14" t="s">
        <v>32</v>
      </c>
    </row>
    <row r="23" spans="1:6" ht="19.05" customHeight="1">
      <c r="A23" s="8">
        <v>8</v>
      </c>
      <c r="B23" s="9" t="s">
        <v>38</v>
      </c>
      <c r="C23" s="10">
        <v>39553100</v>
      </c>
      <c r="D23" s="11">
        <v>9.0399999999999994E-2</v>
      </c>
      <c r="E23" s="12">
        <v>17.211817413883729</v>
      </c>
      <c r="F23" s="14" t="s">
        <v>32</v>
      </c>
    </row>
    <row r="24" spans="1:6" ht="19.05" customHeight="1">
      <c r="A24" s="8">
        <v>9</v>
      </c>
      <c r="B24" s="9" t="s">
        <v>39</v>
      </c>
      <c r="C24" s="10">
        <v>32338700</v>
      </c>
      <c r="D24" s="11">
        <v>0.1065</v>
      </c>
      <c r="E24" s="12">
        <v>14.575235712169039</v>
      </c>
      <c r="F24" s="13" t="s">
        <v>30</v>
      </c>
    </row>
    <row r="25" spans="1:6" ht="19.05" customHeight="1">
      <c r="A25" s="8">
        <v>10</v>
      </c>
      <c r="B25" s="9" t="s">
        <v>40</v>
      </c>
      <c r="C25" s="10">
        <v>37787600</v>
      </c>
      <c r="D25" s="11">
        <v>0.12529999999999999</v>
      </c>
      <c r="E25" s="12">
        <v>14.22945176240864</v>
      </c>
      <c r="F25" s="13" t="s">
        <v>30</v>
      </c>
    </row>
    <row r="27" spans="1:6">
      <c r="A27" s="15" t="s">
        <v>41</v>
      </c>
      <c r="B27" s="15" t="s">
        <v>42</v>
      </c>
    </row>
    <row r="28" spans="1:6">
      <c r="A28" t="s">
        <v>30</v>
      </c>
      <c r="B28">
        <f>COUNTIFS('🗺️ Mustahik Geospasial Jatim'!B6:B195, 2024, '🗺️ Mustahik Geospasial Jatim'!Q6:Q195, 1)</f>
        <v>24</v>
      </c>
    </row>
    <row r="29" spans="1:6">
      <c r="A29" t="s">
        <v>32</v>
      </c>
      <c r="B29">
        <f>COUNTIFS('🗺️ Mustahik Geospasial Jatim'!B6:B195, 2024, '🗺️ Mustahik Geospasial Jatim'!Q6:Q195, 0)</f>
        <v>14</v>
      </c>
    </row>
  </sheetData>
  <mergeCells count="14">
    <mergeCell ref="A1:N1"/>
    <mergeCell ref="A2:N2"/>
    <mergeCell ref="A6:C6"/>
    <mergeCell ref="D4:F4"/>
    <mergeCell ref="G4:I4"/>
    <mergeCell ref="J4:L4"/>
    <mergeCell ref="A4:C4"/>
    <mergeCell ref="D6:F6"/>
    <mergeCell ref="J5:L5"/>
    <mergeCell ref="J6:L6"/>
    <mergeCell ref="D5:F5"/>
    <mergeCell ref="A5:C5"/>
    <mergeCell ref="G5:I5"/>
    <mergeCell ref="G6:I6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94"/>
  <sheetViews>
    <sheetView topLeftCell="A40" workbookViewId="0">
      <selection sqref="A1:Q1"/>
    </sheetView>
  </sheetViews>
  <sheetFormatPr defaultRowHeight="14.4"/>
  <cols>
    <col min="1" max="1" width="40" customWidth="1"/>
    <col min="2" max="2" width="12" customWidth="1"/>
    <col min="3" max="3" width="22" customWidth="1"/>
    <col min="4" max="4" width="33" customWidth="1"/>
    <col min="5" max="5" width="25" customWidth="1"/>
    <col min="6" max="6" width="33" customWidth="1"/>
    <col min="7" max="7" width="22" customWidth="1"/>
    <col min="8" max="8" width="23" customWidth="1"/>
    <col min="9" max="9" width="20" customWidth="1"/>
    <col min="10" max="10" width="28" customWidth="1"/>
    <col min="11" max="11" width="29" customWidth="1"/>
    <col min="12" max="12" width="22" customWidth="1"/>
    <col min="13" max="13" width="12" customWidth="1"/>
    <col min="14" max="14" width="35" customWidth="1"/>
    <col min="15" max="15" width="38" customWidth="1"/>
    <col min="16" max="16" width="22" customWidth="1"/>
    <col min="17" max="17" width="19" customWidth="1"/>
  </cols>
  <sheetData>
    <row r="1" spans="1:17" ht="25.05" customHeight="1">
      <c r="A1" s="54" t="s">
        <v>43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</row>
    <row r="2" spans="1:17" ht="18" customHeight="1">
      <c r="A2" s="41" t="s">
        <v>44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</row>
    <row r="4" spans="1:17" ht="25.95" customHeight="1">
      <c r="A4" s="2" t="s">
        <v>24</v>
      </c>
      <c r="B4" s="2" t="s">
        <v>45</v>
      </c>
      <c r="C4" s="2" t="s">
        <v>46</v>
      </c>
      <c r="D4" s="2" t="s">
        <v>47</v>
      </c>
      <c r="E4" s="2" t="s">
        <v>26</v>
      </c>
      <c r="F4" s="2" t="s">
        <v>48</v>
      </c>
      <c r="G4" s="2" t="s">
        <v>49</v>
      </c>
      <c r="H4" s="2" t="s">
        <v>50</v>
      </c>
      <c r="I4" s="2" t="s">
        <v>51</v>
      </c>
      <c r="J4" s="2" t="s">
        <v>52</v>
      </c>
      <c r="K4" s="2" t="s">
        <v>53</v>
      </c>
      <c r="L4" s="2" t="s">
        <v>54</v>
      </c>
      <c r="M4" s="2" t="s">
        <v>55</v>
      </c>
      <c r="N4" s="2" t="s">
        <v>56</v>
      </c>
      <c r="O4" s="2" t="s">
        <v>57</v>
      </c>
      <c r="P4" s="2" t="s">
        <v>58</v>
      </c>
      <c r="Q4" s="2" t="s">
        <v>28</v>
      </c>
    </row>
    <row r="5" spans="1:17" ht="19.05" customHeight="1">
      <c r="A5" s="3" t="s">
        <v>29</v>
      </c>
      <c r="B5" s="16">
        <v>2020</v>
      </c>
      <c r="C5" s="17">
        <v>1060400</v>
      </c>
      <c r="D5" s="17"/>
      <c r="E5" s="18">
        <v>21.57</v>
      </c>
      <c r="F5" s="18">
        <v>19.010000000000002</v>
      </c>
      <c r="G5" s="18">
        <v>56.18</v>
      </c>
      <c r="H5" s="18">
        <v>93.92</v>
      </c>
      <c r="I5" s="18"/>
      <c r="J5" s="18">
        <v>8.77</v>
      </c>
      <c r="K5" s="19">
        <v>22038.2</v>
      </c>
      <c r="L5" s="17">
        <v>1059</v>
      </c>
      <c r="M5" s="18">
        <v>64.11</v>
      </c>
      <c r="N5" s="18">
        <v>15.95548487393574</v>
      </c>
      <c r="O5" s="19">
        <v>1836516.666666667</v>
      </c>
      <c r="P5" s="18">
        <v>49.8620699418165</v>
      </c>
      <c r="Q5" s="13">
        <v>1</v>
      </c>
    </row>
    <row r="6" spans="1:17" ht="19.05" customHeight="1">
      <c r="A6" s="20" t="s">
        <v>29</v>
      </c>
      <c r="B6" s="21">
        <v>2021</v>
      </c>
      <c r="C6" s="22">
        <v>1073510</v>
      </c>
      <c r="D6" s="22">
        <v>215.97</v>
      </c>
      <c r="E6" s="23">
        <v>21.57</v>
      </c>
      <c r="F6" s="23">
        <v>18.7</v>
      </c>
      <c r="G6" s="23">
        <v>39.44</v>
      </c>
      <c r="H6" s="23">
        <v>97.39</v>
      </c>
      <c r="I6" s="23"/>
      <c r="J6" s="23">
        <v>8.07</v>
      </c>
      <c r="K6" s="24">
        <v>23147.7</v>
      </c>
      <c r="L6" s="22">
        <v>947</v>
      </c>
      <c r="M6" s="23">
        <v>64.36</v>
      </c>
      <c r="N6" s="23">
        <v>15.182168506734881</v>
      </c>
      <c r="O6" s="24">
        <v>1928975</v>
      </c>
      <c r="P6" s="23">
        <v>44.583154695416098</v>
      </c>
      <c r="Q6" s="13">
        <v>1</v>
      </c>
    </row>
    <row r="7" spans="1:17" ht="19.05" customHeight="1">
      <c r="A7" s="3" t="s">
        <v>29</v>
      </c>
      <c r="B7" s="16">
        <v>2022</v>
      </c>
      <c r="C7" s="17">
        <v>1086620</v>
      </c>
      <c r="D7" s="17">
        <v>196.11</v>
      </c>
      <c r="E7" s="18">
        <v>19.440000000000001</v>
      </c>
      <c r="F7" s="18">
        <v>49.15</v>
      </c>
      <c r="G7" s="18">
        <v>53.48</v>
      </c>
      <c r="H7" s="18">
        <v>93.91</v>
      </c>
      <c r="I7" s="18"/>
      <c r="J7" s="18">
        <v>8.0500000000000007</v>
      </c>
      <c r="K7" s="19">
        <v>25134.3</v>
      </c>
      <c r="L7" s="17">
        <v>835</v>
      </c>
      <c r="M7" s="18">
        <v>65.05</v>
      </c>
      <c r="N7" s="18">
        <v>16.180116130858789</v>
      </c>
      <c r="O7" s="19">
        <v>2094525</v>
      </c>
      <c r="P7" s="18">
        <v>49.531745906550199</v>
      </c>
      <c r="Q7" s="13">
        <v>1</v>
      </c>
    </row>
    <row r="8" spans="1:17" ht="19.05" customHeight="1">
      <c r="A8" s="20" t="s">
        <v>29</v>
      </c>
      <c r="B8" s="21">
        <v>2023</v>
      </c>
      <c r="C8" s="22">
        <v>1086620</v>
      </c>
      <c r="D8" s="22"/>
      <c r="E8" s="23">
        <v>19.440000000000001</v>
      </c>
      <c r="F8" s="23">
        <v>15.91</v>
      </c>
      <c r="G8" s="23">
        <v>53.48</v>
      </c>
      <c r="H8" s="23">
        <v>93.91</v>
      </c>
      <c r="I8" s="23"/>
      <c r="J8" s="23">
        <v>6.18</v>
      </c>
      <c r="K8" s="24">
        <v>25408.1</v>
      </c>
      <c r="L8" s="22">
        <v>835</v>
      </c>
      <c r="M8" s="23">
        <v>65.75</v>
      </c>
      <c r="N8" s="23">
        <v>17.2576121470291</v>
      </c>
      <c r="O8" s="24">
        <v>2117341.666666667</v>
      </c>
      <c r="P8" s="23">
        <v>50.309051760167272</v>
      </c>
      <c r="Q8" s="13">
        <v>1</v>
      </c>
    </row>
    <row r="9" spans="1:17" ht="19.05" customHeight="1">
      <c r="A9" s="3" t="s">
        <v>29</v>
      </c>
      <c r="B9" s="16">
        <v>2024</v>
      </c>
      <c r="C9" s="17">
        <v>1086620</v>
      </c>
      <c r="D9" s="17"/>
      <c r="E9" s="18">
        <v>19.440000000000001</v>
      </c>
      <c r="F9" s="18">
        <v>14.21</v>
      </c>
      <c r="G9" s="18">
        <v>53.48</v>
      </c>
      <c r="H9" s="18">
        <v>93.91</v>
      </c>
      <c r="I9" s="18"/>
      <c r="J9" s="18">
        <v>5.35</v>
      </c>
      <c r="K9" s="19">
        <v>26066.400000000001</v>
      </c>
      <c r="L9" s="17">
        <v>835</v>
      </c>
      <c r="M9" s="18">
        <v>67.33</v>
      </c>
      <c r="N9" s="18">
        <v>15.212940039237861</v>
      </c>
      <c r="O9" s="19">
        <v>2172200</v>
      </c>
      <c r="P9" s="18">
        <v>49.997356941186702</v>
      </c>
      <c r="Q9" s="13">
        <v>1</v>
      </c>
    </row>
    <row r="10" spans="1:17" ht="19.05" customHeight="1">
      <c r="A10" s="20" t="s">
        <v>31</v>
      </c>
      <c r="B10" s="21">
        <v>2020</v>
      </c>
      <c r="C10" s="22">
        <v>1708100</v>
      </c>
      <c r="D10" s="22"/>
      <c r="E10" s="23">
        <v>8.07</v>
      </c>
      <c r="F10" s="23">
        <v>16.600000000000001</v>
      </c>
      <c r="G10" s="23">
        <v>77.44</v>
      </c>
      <c r="H10" s="23">
        <v>91.62</v>
      </c>
      <c r="I10" s="23"/>
      <c r="J10" s="23">
        <v>5.34</v>
      </c>
      <c r="K10" s="24">
        <v>47566.9</v>
      </c>
      <c r="L10" s="22">
        <v>295</v>
      </c>
      <c r="M10" s="23">
        <v>70.62</v>
      </c>
      <c r="N10" s="23">
        <v>15.46813712972058</v>
      </c>
      <c r="O10" s="24">
        <v>3963908.333333333</v>
      </c>
      <c r="P10" s="23">
        <v>58.619140213717202</v>
      </c>
      <c r="Q10" s="14">
        <v>0</v>
      </c>
    </row>
    <row r="11" spans="1:17" ht="19.05" customHeight="1">
      <c r="A11" s="3" t="s">
        <v>31</v>
      </c>
      <c r="B11" s="16">
        <v>2021</v>
      </c>
      <c r="C11" s="17">
        <v>1719915</v>
      </c>
      <c r="D11" s="17">
        <v>130.93</v>
      </c>
      <c r="E11" s="18">
        <v>8.07</v>
      </c>
      <c r="F11" s="18">
        <v>18.190000000000001</v>
      </c>
      <c r="G11" s="18">
        <v>81.150000000000006</v>
      </c>
      <c r="H11" s="18">
        <v>94.16</v>
      </c>
      <c r="I11" s="18"/>
      <c r="J11" s="18">
        <v>5.42</v>
      </c>
      <c r="K11" s="19">
        <v>49896.2</v>
      </c>
      <c r="L11" s="17">
        <v>388.5</v>
      </c>
      <c r="M11" s="18">
        <v>71.38</v>
      </c>
      <c r="N11" s="18">
        <v>18.094057498716278</v>
      </c>
      <c r="O11" s="19">
        <v>4158016.666666667</v>
      </c>
      <c r="P11" s="18">
        <v>61.248103460945977</v>
      </c>
      <c r="Q11" s="14">
        <v>0</v>
      </c>
    </row>
    <row r="12" spans="1:17" ht="19.05" customHeight="1">
      <c r="A12" s="20" t="s">
        <v>31</v>
      </c>
      <c r="B12" s="21">
        <v>2022</v>
      </c>
      <c r="C12" s="22">
        <v>1731730</v>
      </c>
      <c r="D12" s="22">
        <v>122.01</v>
      </c>
      <c r="E12" s="23">
        <v>7.51</v>
      </c>
      <c r="F12" s="23">
        <v>76.81</v>
      </c>
      <c r="G12" s="23">
        <v>78.069999999999993</v>
      </c>
      <c r="H12" s="23">
        <v>95.97</v>
      </c>
      <c r="I12" s="23"/>
      <c r="J12" s="23">
        <v>5.26</v>
      </c>
      <c r="K12" s="24">
        <v>53822.400000000001</v>
      </c>
      <c r="L12" s="22">
        <v>482</v>
      </c>
      <c r="M12" s="23">
        <v>71.94</v>
      </c>
      <c r="N12" s="23">
        <v>17.56806715278103</v>
      </c>
      <c r="O12" s="24">
        <v>4485200</v>
      </c>
      <c r="P12" s="23">
        <v>60.305338685898931</v>
      </c>
      <c r="Q12" s="14">
        <v>0</v>
      </c>
    </row>
    <row r="13" spans="1:17" ht="19.05" customHeight="1">
      <c r="A13" s="3" t="s">
        <v>31</v>
      </c>
      <c r="B13" s="16">
        <v>2023</v>
      </c>
      <c r="C13" s="17">
        <v>1731730</v>
      </c>
      <c r="D13" s="17"/>
      <c r="E13" s="18">
        <v>7.51</v>
      </c>
      <c r="F13" s="18">
        <v>16.16</v>
      </c>
      <c r="G13" s="18">
        <v>78.069999999999993</v>
      </c>
      <c r="H13" s="18">
        <v>95.97</v>
      </c>
      <c r="I13" s="18"/>
      <c r="J13" s="18">
        <v>4.75</v>
      </c>
      <c r="K13" s="19">
        <v>58085.9</v>
      </c>
      <c r="L13" s="17">
        <v>482</v>
      </c>
      <c r="M13" s="18">
        <v>72.61</v>
      </c>
      <c r="N13" s="18">
        <v>16.274359244642302</v>
      </c>
      <c r="O13" s="19">
        <v>4840491.666666667</v>
      </c>
      <c r="P13" s="18">
        <v>59.976242728296441</v>
      </c>
      <c r="Q13" s="14">
        <v>0</v>
      </c>
    </row>
    <row r="14" spans="1:17" ht="19.05" customHeight="1">
      <c r="A14" s="20" t="s">
        <v>31</v>
      </c>
      <c r="B14" s="21">
        <v>2024</v>
      </c>
      <c r="C14" s="22">
        <v>1731730</v>
      </c>
      <c r="D14" s="22"/>
      <c r="E14" s="23">
        <v>7.51</v>
      </c>
      <c r="F14" s="23">
        <v>16.52</v>
      </c>
      <c r="G14" s="23">
        <v>78.069999999999993</v>
      </c>
      <c r="H14" s="23">
        <v>95.97</v>
      </c>
      <c r="I14" s="23"/>
      <c r="J14" s="23">
        <v>4.03</v>
      </c>
      <c r="K14" s="24">
        <v>62085.599999999999</v>
      </c>
      <c r="L14" s="22">
        <v>482</v>
      </c>
      <c r="M14" s="23">
        <v>74.3</v>
      </c>
      <c r="N14" s="23">
        <v>17.655278381599711</v>
      </c>
      <c r="O14" s="24">
        <v>5173800</v>
      </c>
      <c r="P14" s="23">
        <v>61.289590022276784</v>
      </c>
      <c r="Q14" s="14">
        <v>0</v>
      </c>
    </row>
    <row r="15" spans="1:17" ht="19.05" customHeight="1">
      <c r="A15" s="3" t="s">
        <v>33</v>
      </c>
      <c r="B15" s="16">
        <v>2020</v>
      </c>
      <c r="C15" s="17">
        <v>1223700</v>
      </c>
      <c r="D15" s="17"/>
      <c r="E15" s="18">
        <v>9.65</v>
      </c>
      <c r="F15" s="18">
        <v>19.61</v>
      </c>
      <c r="G15" s="18">
        <v>80.36</v>
      </c>
      <c r="H15" s="18">
        <v>95.35</v>
      </c>
      <c r="I15" s="18"/>
      <c r="J15" s="18">
        <v>3.82</v>
      </c>
      <c r="K15" s="19">
        <v>29489.599999999999</v>
      </c>
      <c r="L15" s="17">
        <v>916</v>
      </c>
      <c r="M15" s="18">
        <v>70.58</v>
      </c>
      <c r="N15" s="18">
        <v>15.3574007507274</v>
      </c>
      <c r="O15" s="19">
        <v>2457466.666666667</v>
      </c>
      <c r="P15" s="18">
        <v>59.428031115720337</v>
      </c>
      <c r="Q15" s="13">
        <v>1</v>
      </c>
    </row>
    <row r="16" spans="1:17" ht="19.05" customHeight="1">
      <c r="A16" s="20" t="s">
        <v>33</v>
      </c>
      <c r="B16" s="21">
        <v>2021</v>
      </c>
      <c r="C16" s="22">
        <v>1232010</v>
      </c>
      <c r="D16" s="22">
        <v>112.62</v>
      </c>
      <c r="E16" s="23">
        <v>9.65</v>
      </c>
      <c r="F16" s="23">
        <v>20.69</v>
      </c>
      <c r="G16" s="23">
        <v>75.67</v>
      </c>
      <c r="H16" s="23">
        <v>93.33</v>
      </c>
      <c r="I16" s="23"/>
      <c r="J16" s="23">
        <v>3.66</v>
      </c>
      <c r="K16" s="24">
        <v>30683.3</v>
      </c>
      <c r="L16" s="22">
        <v>813.5</v>
      </c>
      <c r="M16" s="23">
        <v>71.05</v>
      </c>
      <c r="N16" s="23">
        <v>15.31142393677265</v>
      </c>
      <c r="O16" s="24">
        <v>2556941.666666667</v>
      </c>
      <c r="P16" s="23">
        <v>58.187811047741228</v>
      </c>
      <c r="Q16" s="13">
        <v>1</v>
      </c>
    </row>
    <row r="17" spans="1:17" ht="19.05" customHeight="1">
      <c r="A17" s="3" t="s">
        <v>33</v>
      </c>
      <c r="B17" s="16">
        <v>2022</v>
      </c>
      <c r="C17" s="17">
        <v>1240320</v>
      </c>
      <c r="D17" s="17">
        <v>101.94</v>
      </c>
      <c r="E17" s="18">
        <v>8.7100000000000009</v>
      </c>
      <c r="F17" s="18">
        <v>68.569999999999993</v>
      </c>
      <c r="G17" s="18">
        <v>80.11</v>
      </c>
      <c r="H17" s="18">
        <v>96.37</v>
      </c>
      <c r="I17" s="18"/>
      <c r="J17" s="18">
        <v>5.45</v>
      </c>
      <c r="K17" s="19">
        <v>33284.699999999997</v>
      </c>
      <c r="L17" s="17">
        <v>711</v>
      </c>
      <c r="M17" s="18">
        <v>71.86</v>
      </c>
      <c r="N17" s="18">
        <v>16.20249441895621</v>
      </c>
      <c r="O17" s="19">
        <v>2773725</v>
      </c>
      <c r="P17" s="18">
        <v>60.255074347210559</v>
      </c>
      <c r="Q17" s="14">
        <v>0</v>
      </c>
    </row>
    <row r="18" spans="1:17" ht="19.05" customHeight="1">
      <c r="A18" s="20" t="s">
        <v>33</v>
      </c>
      <c r="B18" s="21">
        <v>2023</v>
      </c>
      <c r="C18" s="22">
        <v>1240320</v>
      </c>
      <c r="D18" s="22"/>
      <c r="E18" s="23">
        <v>8.7100000000000009</v>
      </c>
      <c r="F18" s="23">
        <v>16.04</v>
      </c>
      <c r="G18" s="23">
        <v>80.11</v>
      </c>
      <c r="H18" s="23">
        <v>96.37</v>
      </c>
      <c r="I18" s="23"/>
      <c r="J18" s="23">
        <v>4.91</v>
      </c>
      <c r="K18" s="24">
        <v>35811.699999999997</v>
      </c>
      <c r="L18" s="22">
        <v>711</v>
      </c>
      <c r="M18" s="23">
        <v>72.489999999999995</v>
      </c>
      <c r="N18" s="23">
        <v>13.799145458771161</v>
      </c>
      <c r="O18" s="24">
        <v>2984308.333333333</v>
      </c>
      <c r="P18" s="23">
        <v>59.397836365586691</v>
      </c>
      <c r="Q18" s="14">
        <v>0</v>
      </c>
    </row>
    <row r="19" spans="1:17" ht="19.05" customHeight="1">
      <c r="A19" s="3" t="s">
        <v>33</v>
      </c>
      <c r="B19" s="16">
        <v>2024</v>
      </c>
      <c r="C19" s="17">
        <v>1240320</v>
      </c>
      <c r="D19" s="17"/>
      <c r="E19" s="18">
        <v>8.7100000000000009</v>
      </c>
      <c r="F19" s="18">
        <v>14.92</v>
      </c>
      <c r="G19" s="18">
        <v>80.11</v>
      </c>
      <c r="H19" s="18">
        <v>96.37</v>
      </c>
      <c r="I19" s="18"/>
      <c r="J19" s="18">
        <v>4.7699999999999996</v>
      </c>
      <c r="K19" s="19">
        <v>37810.6</v>
      </c>
      <c r="L19" s="17">
        <v>711</v>
      </c>
      <c r="M19" s="18">
        <v>73.44</v>
      </c>
      <c r="N19" s="18">
        <v>14.160967430690359</v>
      </c>
      <c r="O19" s="19">
        <v>3150883.333333333</v>
      </c>
      <c r="P19" s="18">
        <v>59.944831121857092</v>
      </c>
      <c r="Q19" s="14">
        <v>0</v>
      </c>
    </row>
    <row r="20" spans="1:17" ht="19.05" customHeight="1">
      <c r="A20" s="20" t="s">
        <v>34</v>
      </c>
      <c r="B20" s="21">
        <v>2020</v>
      </c>
      <c r="C20" s="22">
        <v>1301600</v>
      </c>
      <c r="D20" s="22"/>
      <c r="E20" s="23">
        <v>13.27</v>
      </c>
      <c r="F20" s="23">
        <v>14.19</v>
      </c>
      <c r="G20" s="23">
        <v>89.02</v>
      </c>
      <c r="H20" s="23">
        <v>96.94</v>
      </c>
      <c r="I20" s="23"/>
      <c r="J20" s="23">
        <v>4.92</v>
      </c>
      <c r="K20" s="24">
        <v>54048</v>
      </c>
      <c r="L20" s="22">
        <v>592</v>
      </c>
      <c r="M20" s="23">
        <v>69.040000000000006</v>
      </c>
      <c r="N20" s="23">
        <v>16.22953247579046</v>
      </c>
      <c r="O20" s="24">
        <v>4504000</v>
      </c>
      <c r="P20" s="23">
        <v>61.812553450364831</v>
      </c>
      <c r="Q20" s="13">
        <v>1</v>
      </c>
    </row>
    <row r="21" spans="1:17" ht="19.05" customHeight="1">
      <c r="A21" s="3" t="s">
        <v>34</v>
      </c>
      <c r="B21" s="16">
        <v>2021</v>
      </c>
      <c r="C21" s="17">
        <v>1308365</v>
      </c>
      <c r="D21" s="17">
        <v>166.52</v>
      </c>
      <c r="E21" s="18">
        <v>13.27</v>
      </c>
      <c r="F21" s="18">
        <v>16.100000000000001</v>
      </c>
      <c r="G21" s="18">
        <v>90.96</v>
      </c>
      <c r="H21" s="18">
        <v>97.24</v>
      </c>
      <c r="I21" s="18"/>
      <c r="J21" s="18">
        <v>4.82</v>
      </c>
      <c r="K21" s="19">
        <v>64424.3</v>
      </c>
      <c r="L21" s="17">
        <v>580.5</v>
      </c>
      <c r="M21" s="18">
        <v>69.59</v>
      </c>
      <c r="N21" s="18">
        <v>16.104385842249819</v>
      </c>
      <c r="O21" s="19">
        <v>5368691.666666667</v>
      </c>
      <c r="P21" s="18">
        <v>62.556793465653762</v>
      </c>
      <c r="Q21" s="13">
        <v>1</v>
      </c>
    </row>
    <row r="22" spans="1:17" ht="19.05" customHeight="1">
      <c r="A22" s="20" t="s">
        <v>34</v>
      </c>
      <c r="B22" s="21">
        <v>2022</v>
      </c>
      <c r="C22" s="22">
        <v>1315130</v>
      </c>
      <c r="D22" s="22">
        <v>153.4</v>
      </c>
      <c r="E22" s="23">
        <v>12.21</v>
      </c>
      <c r="F22" s="23">
        <v>83.76</v>
      </c>
      <c r="G22" s="23">
        <v>91.01</v>
      </c>
      <c r="H22" s="23">
        <v>96.51</v>
      </c>
      <c r="I22" s="23"/>
      <c r="J22" s="23">
        <v>4.6900000000000004</v>
      </c>
      <c r="K22" s="24">
        <v>76507.3</v>
      </c>
      <c r="L22" s="22">
        <v>569</v>
      </c>
      <c r="M22" s="23">
        <v>70.12</v>
      </c>
      <c r="N22" s="23">
        <v>18.10260692031234</v>
      </c>
      <c r="O22" s="24">
        <v>6375608.333333333</v>
      </c>
      <c r="P22" s="23">
        <v>63.706049347836469</v>
      </c>
      <c r="Q22" s="13">
        <v>1</v>
      </c>
    </row>
    <row r="23" spans="1:17" ht="19.05" customHeight="1">
      <c r="A23" s="3" t="s">
        <v>34</v>
      </c>
      <c r="B23" s="16">
        <v>2023</v>
      </c>
      <c r="C23" s="17">
        <v>1315130</v>
      </c>
      <c r="D23" s="17"/>
      <c r="E23" s="18">
        <v>12.21</v>
      </c>
      <c r="F23" s="18">
        <v>17.899999999999999</v>
      </c>
      <c r="G23" s="18">
        <v>91.01</v>
      </c>
      <c r="H23" s="18">
        <v>96.51</v>
      </c>
      <c r="I23" s="18"/>
      <c r="J23" s="18">
        <v>4.63</v>
      </c>
      <c r="K23" s="19">
        <v>74242.2</v>
      </c>
      <c r="L23" s="17">
        <v>569</v>
      </c>
      <c r="M23" s="18">
        <v>70.849999999999994</v>
      </c>
      <c r="N23" s="18">
        <v>16.560747631930411</v>
      </c>
      <c r="O23" s="19">
        <v>6186850</v>
      </c>
      <c r="P23" s="18">
        <v>63.286421983967891</v>
      </c>
      <c r="Q23" s="13">
        <v>1</v>
      </c>
    </row>
    <row r="24" spans="1:17" ht="19.05" customHeight="1">
      <c r="A24" s="20" t="s">
        <v>34</v>
      </c>
      <c r="B24" s="21">
        <v>2024</v>
      </c>
      <c r="C24" s="22">
        <v>1315130</v>
      </c>
      <c r="D24" s="22"/>
      <c r="E24" s="23">
        <v>12.21</v>
      </c>
      <c r="F24" s="23">
        <v>21.13</v>
      </c>
      <c r="G24" s="23">
        <v>91.01</v>
      </c>
      <c r="H24" s="23">
        <v>96.51</v>
      </c>
      <c r="I24" s="23"/>
      <c r="J24" s="23">
        <v>4.42</v>
      </c>
      <c r="K24" s="24">
        <v>76808.399999999994</v>
      </c>
      <c r="L24" s="22">
        <v>569</v>
      </c>
      <c r="M24" s="23">
        <v>72.75</v>
      </c>
      <c r="N24" s="23">
        <v>16.04056529973613</v>
      </c>
      <c r="O24" s="24">
        <v>6400700</v>
      </c>
      <c r="P24" s="23">
        <v>63.80633783064745</v>
      </c>
      <c r="Q24" s="13">
        <v>1</v>
      </c>
    </row>
    <row r="25" spans="1:17" ht="19.05" customHeight="1">
      <c r="A25" s="3" t="s">
        <v>35</v>
      </c>
      <c r="B25" s="16">
        <v>2020</v>
      </c>
      <c r="C25" s="17">
        <v>776200</v>
      </c>
      <c r="D25" s="17"/>
      <c r="E25" s="18">
        <v>14.73</v>
      </c>
      <c r="F25" s="18">
        <v>16.440000000000001</v>
      </c>
      <c r="G25" s="18">
        <v>44.07</v>
      </c>
      <c r="H25" s="18">
        <v>91.75</v>
      </c>
      <c r="I25" s="18"/>
      <c r="J25" s="18">
        <v>4.13</v>
      </c>
      <c r="K25" s="19">
        <v>25705.7</v>
      </c>
      <c r="L25" s="17">
        <v>509</v>
      </c>
      <c r="M25" s="18">
        <v>66.430000000000007</v>
      </c>
      <c r="N25" s="18">
        <v>16.623886233003589</v>
      </c>
      <c r="O25" s="19">
        <v>2142141.666666667</v>
      </c>
      <c r="P25" s="18">
        <v>47.465562876770889</v>
      </c>
      <c r="Q25" s="13">
        <v>1</v>
      </c>
    </row>
    <row r="26" spans="1:17" ht="19.05" customHeight="1">
      <c r="A26" s="20" t="s">
        <v>35</v>
      </c>
      <c r="B26" s="21">
        <v>2021</v>
      </c>
      <c r="C26" s="22">
        <v>778810</v>
      </c>
      <c r="D26" s="22">
        <v>115.18</v>
      </c>
      <c r="E26" s="23">
        <v>14.73</v>
      </c>
      <c r="F26" s="23">
        <v>16.760000000000002</v>
      </c>
      <c r="G26" s="23">
        <v>52.82</v>
      </c>
      <c r="H26" s="23">
        <v>93.44</v>
      </c>
      <c r="I26" s="23"/>
      <c r="J26" s="23">
        <v>4.46</v>
      </c>
      <c r="K26" s="24">
        <v>27009.3</v>
      </c>
      <c r="L26" s="22">
        <v>506</v>
      </c>
      <c r="M26" s="23">
        <v>66.59</v>
      </c>
      <c r="N26" s="23">
        <v>14.710753767869971</v>
      </c>
      <c r="O26" s="24">
        <v>2250775</v>
      </c>
      <c r="P26" s="23">
        <v>49.27157866209383</v>
      </c>
      <c r="Q26" s="13">
        <v>1</v>
      </c>
    </row>
    <row r="27" spans="1:17" ht="19.05" customHeight="1">
      <c r="A27" s="3" t="s">
        <v>35</v>
      </c>
      <c r="B27" s="16">
        <v>2022</v>
      </c>
      <c r="C27" s="17">
        <v>781420</v>
      </c>
      <c r="D27" s="17">
        <v>105.69</v>
      </c>
      <c r="E27" s="18">
        <v>13.47</v>
      </c>
      <c r="F27" s="18">
        <v>68.599999999999994</v>
      </c>
      <c r="G27" s="18">
        <v>51.64</v>
      </c>
      <c r="H27" s="18">
        <v>93.31</v>
      </c>
      <c r="I27" s="18"/>
      <c r="J27" s="18">
        <v>4.32</v>
      </c>
      <c r="K27" s="19">
        <v>29216.6</v>
      </c>
      <c r="L27" s="17">
        <v>503</v>
      </c>
      <c r="M27" s="18">
        <v>67.31</v>
      </c>
      <c r="N27" s="18">
        <v>15.251972849435299</v>
      </c>
      <c r="O27" s="19">
        <v>2434716.666666667</v>
      </c>
      <c r="P27" s="18">
        <v>49.455372084354757</v>
      </c>
      <c r="Q27" s="13">
        <v>1</v>
      </c>
    </row>
    <row r="28" spans="1:17" ht="19.05" customHeight="1">
      <c r="A28" s="20" t="s">
        <v>35</v>
      </c>
      <c r="B28" s="21">
        <v>2023</v>
      </c>
      <c r="C28" s="22">
        <v>781420</v>
      </c>
      <c r="D28" s="22"/>
      <c r="E28" s="23">
        <v>13.47</v>
      </c>
      <c r="F28" s="23">
        <v>15.12</v>
      </c>
      <c r="G28" s="23">
        <v>51.64</v>
      </c>
      <c r="H28" s="23">
        <v>93.31</v>
      </c>
      <c r="I28" s="23"/>
      <c r="J28" s="23">
        <v>4.1500000000000004</v>
      </c>
      <c r="K28" s="24">
        <v>31432.1</v>
      </c>
      <c r="L28" s="22">
        <v>503</v>
      </c>
      <c r="M28" s="23">
        <v>67.989999999999995</v>
      </c>
      <c r="N28" s="23">
        <v>13.6439727374244</v>
      </c>
      <c r="O28" s="24">
        <v>2619341.666666667</v>
      </c>
      <c r="P28" s="23">
        <v>48.985218186503573</v>
      </c>
      <c r="Q28" s="13">
        <v>1</v>
      </c>
    </row>
    <row r="29" spans="1:17" ht="19.05" customHeight="1">
      <c r="A29" s="3" t="s">
        <v>35</v>
      </c>
      <c r="B29" s="16">
        <v>2024</v>
      </c>
      <c r="C29" s="17">
        <v>781420</v>
      </c>
      <c r="D29" s="17"/>
      <c r="E29" s="18">
        <v>13.47</v>
      </c>
      <c r="F29" s="18">
        <v>14.53</v>
      </c>
      <c r="G29" s="18">
        <v>51.64</v>
      </c>
      <c r="H29" s="18">
        <v>93.31</v>
      </c>
      <c r="I29" s="18"/>
      <c r="J29" s="18">
        <v>3.63</v>
      </c>
      <c r="K29" s="19">
        <v>33500.9</v>
      </c>
      <c r="L29" s="17">
        <v>503</v>
      </c>
      <c r="M29" s="18">
        <v>71.22</v>
      </c>
      <c r="N29" s="18">
        <v>14.859767892499271</v>
      </c>
      <c r="O29" s="19">
        <v>2791741.666666667</v>
      </c>
      <c r="P29" s="18">
        <v>50.838354411922737</v>
      </c>
      <c r="Q29" s="13">
        <v>1</v>
      </c>
    </row>
    <row r="30" spans="1:17" ht="19.05" customHeight="1">
      <c r="A30" s="20" t="s">
        <v>36</v>
      </c>
      <c r="B30" s="21">
        <v>2020</v>
      </c>
      <c r="C30" s="22">
        <v>1311200</v>
      </c>
      <c r="D30" s="22"/>
      <c r="E30" s="23">
        <v>12.42</v>
      </c>
      <c r="F30" s="23">
        <v>26.55</v>
      </c>
      <c r="G30" s="23">
        <v>96.9</v>
      </c>
      <c r="H30" s="23">
        <v>94.63</v>
      </c>
      <c r="I30" s="23"/>
      <c r="J30" s="23">
        <v>8.2100000000000009</v>
      </c>
      <c r="K30" s="24">
        <v>102622.8</v>
      </c>
      <c r="L30" s="22">
        <v>1101</v>
      </c>
      <c r="M30" s="23">
        <v>76.11</v>
      </c>
      <c r="N30" s="23">
        <v>19.384914594852379</v>
      </c>
      <c r="O30" s="24">
        <v>8551900</v>
      </c>
      <c r="P30" s="23">
        <v>68.460883659162633</v>
      </c>
      <c r="Q30" s="13">
        <v>1</v>
      </c>
    </row>
    <row r="31" spans="1:17" ht="19.05" customHeight="1">
      <c r="A31" s="3" t="s">
        <v>36</v>
      </c>
      <c r="B31" s="16">
        <v>2021</v>
      </c>
      <c r="C31" s="17">
        <v>1321930</v>
      </c>
      <c r="D31" s="17">
        <v>166.35</v>
      </c>
      <c r="E31" s="18">
        <v>12.42</v>
      </c>
      <c r="F31" s="18">
        <v>26.64</v>
      </c>
      <c r="G31" s="18">
        <v>91.56</v>
      </c>
      <c r="H31" s="18">
        <v>88.99</v>
      </c>
      <c r="I31" s="18"/>
      <c r="J31" s="18">
        <v>8</v>
      </c>
      <c r="K31" s="19">
        <v>109418.3</v>
      </c>
      <c r="L31" s="17">
        <v>1081</v>
      </c>
      <c r="M31" s="18">
        <v>76.5</v>
      </c>
      <c r="N31" s="18">
        <v>18.008911465840612</v>
      </c>
      <c r="O31" s="19">
        <v>9118191.666666666</v>
      </c>
      <c r="P31" s="18">
        <v>66.379805291926431</v>
      </c>
      <c r="Q31" s="13">
        <v>1</v>
      </c>
    </row>
    <row r="32" spans="1:17" ht="19.05" customHeight="1">
      <c r="A32" s="20" t="s">
        <v>36</v>
      </c>
      <c r="B32" s="21">
        <v>2022</v>
      </c>
      <c r="C32" s="22">
        <v>1332660</v>
      </c>
      <c r="D32" s="22">
        <v>149.63999999999999</v>
      </c>
      <c r="E32" s="23">
        <v>11.06</v>
      </c>
      <c r="F32" s="23">
        <v>83.16</v>
      </c>
      <c r="G32" s="23">
        <v>90.29</v>
      </c>
      <c r="H32" s="23">
        <v>91.5</v>
      </c>
      <c r="I32" s="23"/>
      <c r="J32" s="23">
        <v>7.84</v>
      </c>
      <c r="K32" s="24">
        <v>122650.1</v>
      </c>
      <c r="L32" s="22">
        <v>1061</v>
      </c>
      <c r="M32" s="23">
        <v>77.16</v>
      </c>
      <c r="N32" s="23">
        <v>20.103925350887771</v>
      </c>
      <c r="O32" s="24">
        <v>10220841.66666667</v>
      </c>
      <c r="P32" s="23">
        <v>67.229734777332823</v>
      </c>
      <c r="Q32" s="13">
        <v>1</v>
      </c>
    </row>
    <row r="33" spans="1:17" ht="19.05" customHeight="1">
      <c r="A33" s="3" t="s">
        <v>36</v>
      </c>
      <c r="B33" s="16">
        <v>2023</v>
      </c>
      <c r="C33" s="17">
        <v>1332660</v>
      </c>
      <c r="D33" s="17"/>
      <c r="E33" s="18">
        <v>11.06</v>
      </c>
      <c r="F33" s="18">
        <v>28.14</v>
      </c>
      <c r="G33" s="18">
        <v>90.29</v>
      </c>
      <c r="H33" s="18">
        <v>91.5</v>
      </c>
      <c r="I33" s="18"/>
      <c r="J33" s="18">
        <v>6.82</v>
      </c>
      <c r="K33" s="19">
        <v>130527</v>
      </c>
      <c r="L33" s="17">
        <v>1061</v>
      </c>
      <c r="M33" s="18">
        <v>77.98</v>
      </c>
      <c r="N33" s="18">
        <v>19.08793259067539</v>
      </c>
      <c r="O33" s="19">
        <v>10877250</v>
      </c>
      <c r="P33" s="18">
        <v>67.088815041850182</v>
      </c>
      <c r="Q33" s="13">
        <v>1</v>
      </c>
    </row>
    <row r="34" spans="1:17" ht="19.05" customHeight="1">
      <c r="A34" s="20" t="s">
        <v>36</v>
      </c>
      <c r="B34" s="21">
        <v>2024</v>
      </c>
      <c r="C34" s="22">
        <v>1332660</v>
      </c>
      <c r="D34" s="22"/>
      <c r="E34" s="23">
        <v>11.06</v>
      </c>
      <c r="F34" s="23">
        <v>27.68</v>
      </c>
      <c r="G34" s="23">
        <v>90.29</v>
      </c>
      <c r="H34" s="23">
        <v>91.5</v>
      </c>
      <c r="I34" s="23"/>
      <c r="J34" s="23">
        <v>6.45</v>
      </c>
      <c r="K34" s="24">
        <v>138271.20000000001</v>
      </c>
      <c r="L34" s="22">
        <v>1061</v>
      </c>
      <c r="M34" s="23">
        <v>78.930000000000007</v>
      </c>
      <c r="N34" s="23">
        <v>19.602758699127762</v>
      </c>
      <c r="O34" s="24">
        <v>11522600</v>
      </c>
      <c r="P34" s="23">
        <v>67.706427091905127</v>
      </c>
      <c r="Q34" s="13">
        <v>1</v>
      </c>
    </row>
    <row r="35" spans="1:17" ht="19.05" customHeight="1">
      <c r="A35" s="3" t="s">
        <v>37</v>
      </c>
      <c r="B35" s="16">
        <v>2020</v>
      </c>
      <c r="C35" s="17">
        <v>2536700</v>
      </c>
      <c r="D35" s="17"/>
      <c r="E35" s="18">
        <v>10.41</v>
      </c>
      <c r="F35" s="18">
        <v>26.68</v>
      </c>
      <c r="G35" s="18">
        <v>65.83</v>
      </c>
      <c r="H35" s="18">
        <v>90.49</v>
      </c>
      <c r="I35" s="18"/>
      <c r="J35" s="18">
        <v>5.12</v>
      </c>
      <c r="K35" s="19">
        <v>30022.9</v>
      </c>
      <c r="L35" s="17">
        <v>820</v>
      </c>
      <c r="M35" s="18">
        <v>67.11</v>
      </c>
      <c r="N35" s="18">
        <v>15.10340653060196</v>
      </c>
      <c r="O35" s="19">
        <v>2501908.333333333</v>
      </c>
      <c r="P35" s="18">
        <v>53.563803014123977</v>
      </c>
      <c r="Q35" s="13">
        <v>1</v>
      </c>
    </row>
    <row r="36" spans="1:17" ht="19.05" customHeight="1">
      <c r="A36" s="20" t="s">
        <v>37</v>
      </c>
      <c r="B36" s="21">
        <v>2021</v>
      </c>
      <c r="C36" s="22">
        <v>2552210</v>
      </c>
      <c r="D36" s="22">
        <v>257.08999999999997</v>
      </c>
      <c r="E36" s="23">
        <v>10.41</v>
      </c>
      <c r="F36" s="23">
        <v>27.22</v>
      </c>
      <c r="G36" s="23">
        <v>64.17</v>
      </c>
      <c r="H36" s="23">
        <v>94.35</v>
      </c>
      <c r="I36" s="23"/>
      <c r="J36" s="23">
        <v>5.44</v>
      </c>
      <c r="K36" s="24">
        <v>31781</v>
      </c>
      <c r="L36" s="22">
        <v>797.5</v>
      </c>
      <c r="M36" s="23">
        <v>67.319999999999993</v>
      </c>
      <c r="N36" s="23">
        <v>18.157071787818222</v>
      </c>
      <c r="O36" s="24">
        <v>2648416.666666667</v>
      </c>
      <c r="P36" s="23">
        <v>54.559186978993033</v>
      </c>
      <c r="Q36" s="13">
        <v>1</v>
      </c>
    </row>
    <row r="37" spans="1:17" ht="19.05" customHeight="1">
      <c r="A37" s="3" t="s">
        <v>37</v>
      </c>
      <c r="B37" s="16">
        <v>2022</v>
      </c>
      <c r="C37" s="17">
        <v>2567720</v>
      </c>
      <c r="D37" s="17">
        <v>232.73</v>
      </c>
      <c r="E37" s="18">
        <v>9.39</v>
      </c>
      <c r="F37" s="18">
        <v>74.08</v>
      </c>
      <c r="G37" s="18">
        <v>65.95</v>
      </c>
      <c r="H37" s="18">
        <v>95.4</v>
      </c>
      <c r="I37" s="18"/>
      <c r="J37" s="18">
        <v>4.0599999999999996</v>
      </c>
      <c r="K37" s="19">
        <v>34264.5</v>
      </c>
      <c r="L37" s="17">
        <v>775</v>
      </c>
      <c r="M37" s="18">
        <v>67.97</v>
      </c>
      <c r="N37" s="18">
        <v>16.07190174494858</v>
      </c>
      <c r="O37" s="19">
        <v>2855375</v>
      </c>
      <c r="P37" s="18">
        <v>54.390800805360882</v>
      </c>
      <c r="Q37" s="14">
        <v>0</v>
      </c>
    </row>
    <row r="38" spans="1:17" ht="19.05" customHeight="1">
      <c r="A38" s="20" t="s">
        <v>37</v>
      </c>
      <c r="B38" s="21">
        <v>2023</v>
      </c>
      <c r="C38" s="22">
        <v>2567720</v>
      </c>
      <c r="D38" s="22"/>
      <c r="E38" s="23">
        <v>9.39</v>
      </c>
      <c r="F38" s="23">
        <v>24.31</v>
      </c>
      <c r="G38" s="23">
        <v>65.95</v>
      </c>
      <c r="H38" s="23">
        <v>95.4</v>
      </c>
      <c r="I38" s="23"/>
      <c r="J38" s="23">
        <v>4.01</v>
      </c>
      <c r="K38" s="24">
        <v>36836.800000000003</v>
      </c>
      <c r="L38" s="22">
        <v>775</v>
      </c>
      <c r="M38" s="23">
        <v>68.64</v>
      </c>
      <c r="N38" s="23">
        <v>14.999814081702199</v>
      </c>
      <c r="O38" s="24">
        <v>3069733.333333333</v>
      </c>
      <c r="P38" s="23">
        <v>54.163991114631777</v>
      </c>
      <c r="Q38" s="14">
        <v>0</v>
      </c>
    </row>
    <row r="39" spans="1:17" ht="19.05" customHeight="1">
      <c r="A39" s="3" t="s">
        <v>37</v>
      </c>
      <c r="B39" s="16">
        <v>2024</v>
      </c>
      <c r="C39" s="17">
        <v>2567720</v>
      </c>
      <c r="D39" s="17"/>
      <c r="E39" s="18">
        <v>9.39</v>
      </c>
      <c r="F39" s="18">
        <v>26.11</v>
      </c>
      <c r="G39" s="18">
        <v>65.95</v>
      </c>
      <c r="H39" s="18">
        <v>95.4</v>
      </c>
      <c r="I39" s="18"/>
      <c r="J39" s="18">
        <v>3.23</v>
      </c>
      <c r="K39" s="19">
        <v>39464.300000000003</v>
      </c>
      <c r="L39" s="17">
        <v>775</v>
      </c>
      <c r="M39" s="18">
        <v>70.930000000000007</v>
      </c>
      <c r="N39" s="18">
        <v>17.428368891622021</v>
      </c>
      <c r="O39" s="19">
        <v>3288691.666666667</v>
      </c>
      <c r="P39" s="18">
        <v>56.200862565364012</v>
      </c>
      <c r="Q39" s="14">
        <v>0</v>
      </c>
    </row>
    <row r="40" spans="1:17" ht="19.05" customHeight="1">
      <c r="A40" s="20" t="s">
        <v>38</v>
      </c>
      <c r="B40" s="21">
        <v>2020</v>
      </c>
      <c r="C40" s="22">
        <v>1318100</v>
      </c>
      <c r="D40" s="22"/>
      <c r="E40" s="23">
        <v>10</v>
      </c>
      <c r="F40" s="23">
        <v>23.57</v>
      </c>
      <c r="G40" s="23">
        <v>88.98</v>
      </c>
      <c r="H40" s="23">
        <v>99.37</v>
      </c>
      <c r="I40" s="23"/>
      <c r="J40" s="23">
        <v>7.48</v>
      </c>
      <c r="K40" s="24">
        <v>30303.4</v>
      </c>
      <c r="L40" s="22">
        <v>1182</v>
      </c>
      <c r="M40" s="23">
        <v>72.97</v>
      </c>
      <c r="N40" s="23">
        <v>14.822481448652461</v>
      </c>
      <c r="O40" s="24">
        <v>2525283.333333333</v>
      </c>
      <c r="P40" s="23">
        <v>62.723145283993453</v>
      </c>
      <c r="Q40" s="13">
        <v>1</v>
      </c>
    </row>
    <row r="41" spans="1:17" ht="19.05" customHeight="1">
      <c r="A41" s="3" t="s">
        <v>38</v>
      </c>
      <c r="B41" s="16">
        <v>2021</v>
      </c>
      <c r="C41" s="17">
        <v>1327035</v>
      </c>
      <c r="D41" s="17">
        <v>127.3</v>
      </c>
      <c r="E41" s="18">
        <v>10</v>
      </c>
      <c r="F41" s="18">
        <v>23.61</v>
      </c>
      <c r="G41" s="18">
        <v>90.95</v>
      </c>
      <c r="H41" s="18">
        <v>99.44</v>
      </c>
      <c r="I41" s="18"/>
      <c r="J41" s="18">
        <v>7.09</v>
      </c>
      <c r="K41" s="19">
        <v>31448.7</v>
      </c>
      <c r="L41" s="17">
        <v>1193</v>
      </c>
      <c r="M41" s="18">
        <v>73.45</v>
      </c>
      <c r="N41" s="18">
        <v>16.64199033507608</v>
      </c>
      <c r="O41" s="19">
        <v>2620725</v>
      </c>
      <c r="P41" s="18">
        <v>64.345918616188968</v>
      </c>
      <c r="Q41" s="13">
        <v>1</v>
      </c>
    </row>
    <row r="42" spans="1:17" ht="19.05" customHeight="1">
      <c r="A42" s="20" t="s">
        <v>38</v>
      </c>
      <c r="B42" s="21">
        <v>2022</v>
      </c>
      <c r="C42" s="22">
        <v>1335970</v>
      </c>
      <c r="D42" s="22">
        <v>115.48</v>
      </c>
      <c r="E42" s="23">
        <v>9.0399999999999991</v>
      </c>
      <c r="F42" s="23">
        <v>88.17</v>
      </c>
      <c r="G42" s="23">
        <v>93.67</v>
      </c>
      <c r="H42" s="23">
        <v>99.07</v>
      </c>
      <c r="I42" s="23"/>
      <c r="J42" s="23">
        <v>5.47</v>
      </c>
      <c r="K42" s="24">
        <v>34292.300000000003</v>
      </c>
      <c r="L42" s="22">
        <v>1204</v>
      </c>
      <c r="M42" s="23">
        <v>74.05</v>
      </c>
      <c r="N42" s="23">
        <v>14.26717169777805</v>
      </c>
      <c r="O42" s="24">
        <v>2857691.666666667</v>
      </c>
      <c r="P42" s="23">
        <v>64.305848475897562</v>
      </c>
      <c r="Q42" s="14">
        <v>0</v>
      </c>
    </row>
    <row r="43" spans="1:17" ht="19.05" customHeight="1">
      <c r="A43" s="3" t="s">
        <v>38</v>
      </c>
      <c r="B43" s="16">
        <v>2023</v>
      </c>
      <c r="C43" s="17">
        <v>1335970</v>
      </c>
      <c r="D43" s="17"/>
      <c r="E43" s="18">
        <v>9.0399999999999991</v>
      </c>
      <c r="F43" s="18">
        <v>20.56</v>
      </c>
      <c r="G43" s="18">
        <v>93.67</v>
      </c>
      <c r="H43" s="18">
        <v>99.07</v>
      </c>
      <c r="I43" s="18"/>
      <c r="J43" s="18">
        <v>4.66</v>
      </c>
      <c r="K43" s="19">
        <v>36990.699999999997</v>
      </c>
      <c r="L43" s="17">
        <v>1204</v>
      </c>
      <c r="M43" s="18">
        <v>74.599999999999994</v>
      </c>
      <c r="N43" s="18">
        <v>15.214316814066819</v>
      </c>
      <c r="O43" s="19">
        <v>3082558.333333333</v>
      </c>
      <c r="P43" s="18">
        <v>64.962992375723147</v>
      </c>
      <c r="Q43" s="14">
        <v>0</v>
      </c>
    </row>
    <row r="44" spans="1:17" ht="19.05" customHeight="1">
      <c r="A44" s="20" t="s">
        <v>38</v>
      </c>
      <c r="B44" s="21">
        <v>2024</v>
      </c>
      <c r="C44" s="22">
        <v>1335970</v>
      </c>
      <c r="D44" s="22"/>
      <c r="E44" s="23">
        <v>9.0399999999999991</v>
      </c>
      <c r="F44" s="23">
        <v>21.3</v>
      </c>
      <c r="G44" s="23">
        <v>93.67</v>
      </c>
      <c r="H44" s="23">
        <v>99.07</v>
      </c>
      <c r="I44" s="23"/>
      <c r="J44" s="23">
        <v>3.75</v>
      </c>
      <c r="K44" s="24">
        <v>39553.1</v>
      </c>
      <c r="L44" s="22">
        <v>1204</v>
      </c>
      <c r="M44" s="23">
        <v>75.67</v>
      </c>
      <c r="N44" s="23">
        <v>17.211817413883729</v>
      </c>
      <c r="O44" s="24">
        <v>3296091.666666667</v>
      </c>
      <c r="P44" s="23">
        <v>66.3129157294848</v>
      </c>
      <c r="Q44" s="14">
        <v>0</v>
      </c>
    </row>
    <row r="45" spans="1:17" ht="19.05" customHeight="1">
      <c r="A45" s="3" t="s">
        <v>39</v>
      </c>
      <c r="B45" s="16">
        <v>2020</v>
      </c>
      <c r="C45" s="17">
        <v>1635300</v>
      </c>
      <c r="D45" s="17"/>
      <c r="E45" s="18">
        <v>11.64</v>
      </c>
      <c r="F45" s="18">
        <v>18.989999999999998</v>
      </c>
      <c r="G45" s="18">
        <v>83.59</v>
      </c>
      <c r="H45" s="18">
        <v>98.89</v>
      </c>
      <c r="I45" s="18"/>
      <c r="J45" s="18">
        <v>5.24</v>
      </c>
      <c r="K45" s="19">
        <v>24884.6</v>
      </c>
      <c r="L45" s="17">
        <v>1180</v>
      </c>
      <c r="M45" s="18">
        <v>72.05</v>
      </c>
      <c r="N45" s="18">
        <v>16.6790946000045</v>
      </c>
      <c r="O45" s="19">
        <v>2073716.666666667</v>
      </c>
      <c r="P45" s="18">
        <v>61.595043661540537</v>
      </c>
      <c r="Q45" s="13">
        <v>1</v>
      </c>
    </row>
    <row r="46" spans="1:17" ht="19.05" customHeight="1">
      <c r="A46" s="20" t="s">
        <v>39</v>
      </c>
      <c r="B46" s="21">
        <v>2021</v>
      </c>
      <c r="C46" s="22">
        <v>1645660</v>
      </c>
      <c r="D46" s="22">
        <v>184.49</v>
      </c>
      <c r="E46" s="23">
        <v>11.64</v>
      </c>
      <c r="F46" s="23">
        <v>21.8</v>
      </c>
      <c r="G46" s="23">
        <v>86.92</v>
      </c>
      <c r="H46" s="23">
        <v>96.35</v>
      </c>
      <c r="I46" s="23"/>
      <c r="J46" s="23">
        <v>5.15</v>
      </c>
      <c r="K46" s="24">
        <v>25867</v>
      </c>
      <c r="L46" s="22">
        <v>1133.5</v>
      </c>
      <c r="M46" s="23">
        <v>72.56</v>
      </c>
      <c r="N46" s="23">
        <v>16.047128761410331</v>
      </c>
      <c r="O46" s="24">
        <v>2155583.333333333</v>
      </c>
      <c r="P46" s="23">
        <v>62.506367120650921</v>
      </c>
      <c r="Q46" s="13">
        <v>1</v>
      </c>
    </row>
    <row r="47" spans="1:17" ht="19.05" customHeight="1">
      <c r="A47" s="3" t="s">
        <v>39</v>
      </c>
      <c r="B47" s="16">
        <v>2022</v>
      </c>
      <c r="C47" s="17">
        <v>1656020</v>
      </c>
      <c r="D47" s="17">
        <v>169.46</v>
      </c>
      <c r="E47" s="18">
        <v>10.65</v>
      </c>
      <c r="F47" s="18">
        <v>85.24</v>
      </c>
      <c r="G47" s="18">
        <v>88.68</v>
      </c>
      <c r="H47" s="18">
        <v>92.17</v>
      </c>
      <c r="I47" s="18"/>
      <c r="J47" s="18">
        <v>6.83</v>
      </c>
      <c r="K47" s="19">
        <v>28034.799999999999</v>
      </c>
      <c r="L47" s="17">
        <v>1087</v>
      </c>
      <c r="M47" s="18">
        <v>73.459999999999994</v>
      </c>
      <c r="N47" s="18">
        <v>15.85363901216108</v>
      </c>
      <c r="O47" s="19">
        <v>2336233.333333333</v>
      </c>
      <c r="P47" s="18">
        <v>63.305064159458958</v>
      </c>
      <c r="Q47" s="13">
        <v>1</v>
      </c>
    </row>
    <row r="48" spans="1:17" ht="19.05" customHeight="1">
      <c r="A48" s="20" t="s">
        <v>39</v>
      </c>
      <c r="B48" s="21">
        <v>2023</v>
      </c>
      <c r="C48" s="22">
        <v>1656020</v>
      </c>
      <c r="D48" s="22"/>
      <c r="E48" s="23">
        <v>10.65</v>
      </c>
      <c r="F48" s="23">
        <v>18.399999999999999</v>
      </c>
      <c r="G48" s="23">
        <v>88.68</v>
      </c>
      <c r="H48" s="23">
        <v>92.17</v>
      </c>
      <c r="I48" s="23"/>
      <c r="J48" s="23">
        <v>5.79</v>
      </c>
      <c r="K48" s="24">
        <v>30192.7</v>
      </c>
      <c r="L48" s="22">
        <v>1087</v>
      </c>
      <c r="M48" s="23">
        <v>73.959999999999994</v>
      </c>
      <c r="N48" s="23">
        <v>15.816476460561351</v>
      </c>
      <c r="O48" s="24">
        <v>2516058.333333333</v>
      </c>
      <c r="P48" s="23">
        <v>63.487912212566783</v>
      </c>
      <c r="Q48" s="13">
        <v>1</v>
      </c>
    </row>
    <row r="49" spans="1:17" ht="19.05" customHeight="1">
      <c r="A49" s="3" t="s">
        <v>39</v>
      </c>
      <c r="B49" s="16">
        <v>2024</v>
      </c>
      <c r="C49" s="17">
        <v>1656020</v>
      </c>
      <c r="D49" s="17"/>
      <c r="E49" s="18">
        <v>10.65</v>
      </c>
      <c r="F49" s="18">
        <v>18.16</v>
      </c>
      <c r="G49" s="18">
        <v>88.68</v>
      </c>
      <c r="H49" s="18">
        <v>92.17</v>
      </c>
      <c r="I49" s="18"/>
      <c r="J49" s="18">
        <v>5.0999999999999996</v>
      </c>
      <c r="K49" s="19">
        <v>32338.7</v>
      </c>
      <c r="L49" s="17">
        <v>1087</v>
      </c>
      <c r="M49" s="18">
        <v>75.180000000000007</v>
      </c>
      <c r="N49" s="18">
        <v>14.575235712169039</v>
      </c>
      <c r="O49" s="19">
        <v>2694891.666666667</v>
      </c>
      <c r="P49" s="18">
        <v>63.403031867154937</v>
      </c>
      <c r="Q49" s="13">
        <v>1</v>
      </c>
    </row>
    <row r="50" spans="1:17" ht="19.05" customHeight="1">
      <c r="A50" s="20" t="s">
        <v>40</v>
      </c>
      <c r="B50" s="21">
        <v>2020</v>
      </c>
      <c r="C50" s="22">
        <v>1344200</v>
      </c>
      <c r="D50" s="22"/>
      <c r="E50" s="23">
        <v>13.86</v>
      </c>
      <c r="F50" s="23">
        <v>28.67</v>
      </c>
      <c r="G50" s="23">
        <v>92.23</v>
      </c>
      <c r="H50" s="23">
        <v>92.18</v>
      </c>
      <c r="I50" s="23"/>
      <c r="J50" s="23">
        <v>5.13</v>
      </c>
      <c r="K50" s="24">
        <v>29220.6</v>
      </c>
      <c r="L50" s="22">
        <v>754</v>
      </c>
      <c r="M50" s="23">
        <v>72.58</v>
      </c>
      <c r="N50" s="23">
        <v>14.793230838972841</v>
      </c>
      <c r="O50" s="24">
        <v>2435050</v>
      </c>
      <c r="P50" s="23">
        <v>63.52864500260285</v>
      </c>
      <c r="Q50" s="13">
        <v>1</v>
      </c>
    </row>
    <row r="51" spans="1:17" ht="19.05" customHeight="1">
      <c r="A51" s="3" t="s">
        <v>40</v>
      </c>
      <c r="B51" s="16">
        <v>2021</v>
      </c>
      <c r="C51" s="17">
        <v>1357855</v>
      </c>
      <c r="D51" s="17">
        <v>166.82</v>
      </c>
      <c r="E51" s="18">
        <v>13.86</v>
      </c>
      <c r="F51" s="18">
        <v>29.37</v>
      </c>
      <c r="G51" s="18">
        <v>89.7</v>
      </c>
      <c r="H51" s="18">
        <v>81.98</v>
      </c>
      <c r="I51" s="18"/>
      <c r="J51" s="18">
        <v>4.9000000000000004</v>
      </c>
      <c r="K51" s="19">
        <v>30373.1</v>
      </c>
      <c r="L51" s="17">
        <v>768.5</v>
      </c>
      <c r="M51" s="18">
        <v>73.12</v>
      </c>
      <c r="N51" s="18">
        <v>15.22384371853788</v>
      </c>
      <c r="O51" s="19">
        <v>2531091.666666667</v>
      </c>
      <c r="P51" s="18">
        <v>63.184389408555937</v>
      </c>
      <c r="Q51" s="13">
        <v>1</v>
      </c>
    </row>
    <row r="52" spans="1:17" ht="19.05" customHeight="1">
      <c r="A52" s="20" t="s">
        <v>40</v>
      </c>
      <c r="B52" s="21">
        <v>2022</v>
      </c>
      <c r="C52" s="22">
        <v>1371510</v>
      </c>
      <c r="D52" s="22">
        <v>151.08000000000001</v>
      </c>
      <c r="E52" s="23">
        <v>12.53</v>
      </c>
      <c r="F52" s="23">
        <v>73.67</v>
      </c>
      <c r="G52" s="23">
        <v>90.66</v>
      </c>
      <c r="H52" s="23">
        <v>78.56</v>
      </c>
      <c r="I52" s="23"/>
      <c r="J52" s="23">
        <v>6.05</v>
      </c>
      <c r="K52" s="24">
        <v>33398.6</v>
      </c>
      <c r="L52" s="22">
        <v>783</v>
      </c>
      <c r="M52" s="23">
        <v>74.02</v>
      </c>
      <c r="N52" s="23">
        <v>17.304979061448211</v>
      </c>
      <c r="O52" s="24">
        <v>2783216.666666667</v>
      </c>
      <c r="P52" s="23">
        <v>64.792913412976091</v>
      </c>
      <c r="Q52" s="13">
        <v>1</v>
      </c>
    </row>
    <row r="53" spans="1:17" ht="19.05" customHeight="1">
      <c r="A53" s="3" t="s">
        <v>40</v>
      </c>
      <c r="B53" s="16">
        <v>2023</v>
      </c>
      <c r="C53" s="17">
        <v>1371510</v>
      </c>
      <c r="D53" s="17"/>
      <c r="E53" s="18">
        <v>12.53</v>
      </c>
      <c r="F53" s="18">
        <v>25.75</v>
      </c>
      <c r="G53" s="18">
        <v>90.66</v>
      </c>
      <c r="H53" s="18">
        <v>78.56</v>
      </c>
      <c r="I53" s="18"/>
      <c r="J53" s="18">
        <v>5.46</v>
      </c>
      <c r="K53" s="19">
        <v>35725.699999999997</v>
      </c>
      <c r="L53" s="17">
        <v>783</v>
      </c>
      <c r="M53" s="18">
        <v>74.53</v>
      </c>
      <c r="N53" s="18">
        <v>16.61716517449079</v>
      </c>
      <c r="O53" s="19">
        <v>2977141.666666667</v>
      </c>
      <c r="P53" s="18">
        <v>64.679460849764979</v>
      </c>
      <c r="Q53" s="13">
        <v>1</v>
      </c>
    </row>
    <row r="54" spans="1:17" ht="19.05" customHeight="1">
      <c r="A54" s="20" t="s">
        <v>40</v>
      </c>
      <c r="B54" s="21">
        <v>2024</v>
      </c>
      <c r="C54" s="22">
        <v>1371510</v>
      </c>
      <c r="D54" s="22"/>
      <c r="E54" s="23">
        <v>12.53</v>
      </c>
      <c r="F54" s="23">
        <v>24.04</v>
      </c>
      <c r="G54" s="23">
        <v>90.66</v>
      </c>
      <c r="H54" s="23">
        <v>78.56</v>
      </c>
      <c r="I54" s="23"/>
      <c r="J54" s="23">
        <v>4.34</v>
      </c>
      <c r="K54" s="24">
        <v>37787.599999999999</v>
      </c>
      <c r="L54" s="22">
        <v>783</v>
      </c>
      <c r="M54" s="23">
        <v>75.900000000000006</v>
      </c>
      <c r="N54" s="23">
        <v>14.22945176240864</v>
      </c>
      <c r="O54" s="24">
        <v>3148966.666666667</v>
      </c>
      <c r="P54" s="23">
        <v>64.125439274957841</v>
      </c>
      <c r="Q54" s="13">
        <v>1</v>
      </c>
    </row>
    <row r="55" spans="1:17" ht="19.05" customHeight="1">
      <c r="A55" s="3" t="s">
        <v>59</v>
      </c>
      <c r="B55" s="16">
        <v>2020</v>
      </c>
      <c r="C55" s="17">
        <v>1119300</v>
      </c>
      <c r="D55" s="17"/>
      <c r="E55" s="18">
        <v>10.050000000000001</v>
      </c>
      <c r="F55" s="18">
        <v>11.96</v>
      </c>
      <c r="G55" s="18">
        <v>84.53</v>
      </c>
      <c r="H55" s="18">
        <v>95.89</v>
      </c>
      <c r="I55" s="18"/>
      <c r="J55" s="18">
        <v>3.36</v>
      </c>
      <c r="K55" s="19">
        <v>28707</v>
      </c>
      <c r="L55" s="17">
        <v>625</v>
      </c>
      <c r="M55" s="18">
        <v>65.459999999999994</v>
      </c>
      <c r="N55" s="18">
        <v>15.77644342907586</v>
      </c>
      <c r="O55" s="19">
        <v>2392250</v>
      </c>
      <c r="P55" s="18">
        <v>58.824435428804243</v>
      </c>
      <c r="Q55" s="13">
        <v>1</v>
      </c>
    </row>
    <row r="56" spans="1:17" ht="19.05" customHeight="1">
      <c r="A56" s="20" t="s">
        <v>59</v>
      </c>
      <c r="B56" s="21">
        <v>2021</v>
      </c>
      <c r="C56" s="22">
        <v>1128265</v>
      </c>
      <c r="D56" s="22">
        <v>105.25</v>
      </c>
      <c r="E56" s="23">
        <v>10.050000000000001</v>
      </c>
      <c r="F56" s="23">
        <v>12.98</v>
      </c>
      <c r="G56" s="23">
        <v>83.24</v>
      </c>
      <c r="H56" s="23">
        <v>95.73</v>
      </c>
      <c r="I56" s="23"/>
      <c r="J56" s="23">
        <v>3.51</v>
      </c>
      <c r="K56" s="24">
        <v>29938.799999999999</v>
      </c>
      <c r="L56" s="22">
        <v>629</v>
      </c>
      <c r="M56" s="23">
        <v>66.069999999999993</v>
      </c>
      <c r="N56" s="23">
        <v>15.03813521406612</v>
      </c>
      <c r="O56" s="24">
        <v>2494900</v>
      </c>
      <c r="P56" s="23">
        <v>58.340677791107431</v>
      </c>
      <c r="Q56" s="13">
        <v>1</v>
      </c>
    </row>
    <row r="57" spans="1:17" ht="19.05" customHeight="1">
      <c r="A57" s="3" t="s">
        <v>59</v>
      </c>
      <c r="B57" s="16">
        <v>2022</v>
      </c>
      <c r="C57" s="17">
        <v>1137230</v>
      </c>
      <c r="D57" s="17">
        <v>95.04</v>
      </c>
      <c r="E57" s="18">
        <v>9.06</v>
      </c>
      <c r="F57" s="18">
        <v>53</v>
      </c>
      <c r="G57" s="18">
        <v>77.989999999999995</v>
      </c>
      <c r="H57" s="18">
        <v>97.35</v>
      </c>
      <c r="I57" s="18"/>
      <c r="J57" s="18">
        <v>4.97</v>
      </c>
      <c r="K57" s="19">
        <v>32383.7</v>
      </c>
      <c r="L57" s="17">
        <v>633</v>
      </c>
      <c r="M57" s="18">
        <v>66.95</v>
      </c>
      <c r="N57" s="18">
        <v>14.89178432813145</v>
      </c>
      <c r="O57" s="19">
        <v>2698641.666666667</v>
      </c>
      <c r="P57" s="18">
        <v>57.050131228368357</v>
      </c>
      <c r="Q57" s="14">
        <v>0</v>
      </c>
    </row>
    <row r="58" spans="1:17" ht="19.05" customHeight="1">
      <c r="A58" s="20" t="s">
        <v>59</v>
      </c>
      <c r="B58" s="21">
        <v>2023</v>
      </c>
      <c r="C58" s="22">
        <v>1137230</v>
      </c>
      <c r="D58" s="22"/>
      <c r="E58" s="23">
        <v>9.06</v>
      </c>
      <c r="F58" s="23">
        <v>16.440000000000001</v>
      </c>
      <c r="G58" s="23">
        <v>77.989999999999995</v>
      </c>
      <c r="H58" s="23">
        <v>97.35</v>
      </c>
      <c r="I58" s="23"/>
      <c r="J58" s="23">
        <v>3.67</v>
      </c>
      <c r="K58" s="24">
        <v>35178.1</v>
      </c>
      <c r="L58" s="22">
        <v>633</v>
      </c>
      <c r="M58" s="23">
        <v>67.87</v>
      </c>
      <c r="N58" s="23">
        <v>16.645023575367048</v>
      </c>
      <c r="O58" s="24">
        <v>2931508.333333333</v>
      </c>
      <c r="P58" s="23">
        <v>58.227318573246343</v>
      </c>
      <c r="Q58" s="14">
        <v>0</v>
      </c>
    </row>
    <row r="59" spans="1:17" ht="19.05" customHeight="1">
      <c r="A59" s="3" t="s">
        <v>59</v>
      </c>
      <c r="B59" s="16">
        <v>2024</v>
      </c>
      <c r="C59" s="17">
        <v>1137230</v>
      </c>
      <c r="D59" s="17"/>
      <c r="E59" s="18">
        <v>9.06</v>
      </c>
      <c r="F59" s="18">
        <v>16.350000000000001</v>
      </c>
      <c r="G59" s="18">
        <v>77.989999999999995</v>
      </c>
      <c r="H59" s="18">
        <v>97.35</v>
      </c>
      <c r="I59" s="18"/>
      <c r="J59" s="18">
        <v>3.28</v>
      </c>
      <c r="K59" s="19">
        <v>37578.6</v>
      </c>
      <c r="L59" s="17">
        <v>633</v>
      </c>
      <c r="M59" s="18">
        <v>70.31</v>
      </c>
      <c r="N59" s="18">
        <v>17.313238979605838</v>
      </c>
      <c r="O59" s="19">
        <v>3131550</v>
      </c>
      <c r="P59" s="18">
        <v>59.511725682894998</v>
      </c>
      <c r="Q59" s="14">
        <v>0</v>
      </c>
    </row>
    <row r="60" spans="1:17" ht="19.05" customHeight="1">
      <c r="A60" s="20" t="s">
        <v>60</v>
      </c>
      <c r="B60" s="21">
        <v>2020</v>
      </c>
      <c r="C60" s="22">
        <v>744400</v>
      </c>
      <c r="D60" s="22"/>
      <c r="E60" s="23">
        <v>11.91</v>
      </c>
      <c r="F60" s="23">
        <v>19.100000000000001</v>
      </c>
      <c r="G60" s="23">
        <v>91.92</v>
      </c>
      <c r="H60" s="23">
        <v>97.83</v>
      </c>
      <c r="I60" s="23"/>
      <c r="J60" s="23">
        <v>4.8</v>
      </c>
      <c r="K60" s="24">
        <v>25811.1</v>
      </c>
      <c r="L60" s="22">
        <v>717</v>
      </c>
      <c r="M60" s="23">
        <v>71.73</v>
      </c>
      <c r="N60" s="23">
        <v>16.404026929019881</v>
      </c>
      <c r="O60" s="24">
        <v>2150925</v>
      </c>
      <c r="P60" s="23">
        <v>63.839089351855328</v>
      </c>
      <c r="Q60" s="13">
        <v>1</v>
      </c>
    </row>
    <row r="61" spans="1:17" ht="19.05" customHeight="1">
      <c r="A61" s="3" t="s">
        <v>60</v>
      </c>
      <c r="B61" s="16">
        <v>2021</v>
      </c>
      <c r="C61" s="17">
        <v>751035</v>
      </c>
      <c r="D61" s="17">
        <v>81.61</v>
      </c>
      <c r="E61" s="18">
        <v>11.91</v>
      </c>
      <c r="F61" s="18">
        <v>19.190000000000001</v>
      </c>
      <c r="G61" s="18">
        <v>89.09</v>
      </c>
      <c r="H61" s="18">
        <v>95.1</v>
      </c>
      <c r="I61" s="18"/>
      <c r="J61" s="18">
        <v>4.99</v>
      </c>
      <c r="K61" s="19">
        <v>26801.599999999999</v>
      </c>
      <c r="L61" s="17">
        <v>3692.5</v>
      </c>
      <c r="M61" s="18">
        <v>71.88</v>
      </c>
      <c r="N61" s="18">
        <v>16.340351954943031</v>
      </c>
      <c r="O61" s="19">
        <v>2233466.666666667</v>
      </c>
      <c r="P61" s="18">
        <v>63.020700902281398</v>
      </c>
      <c r="Q61" s="13">
        <v>1</v>
      </c>
    </row>
    <row r="62" spans="1:17" ht="19.05" customHeight="1">
      <c r="A62" s="20" t="s">
        <v>60</v>
      </c>
      <c r="B62" s="21">
        <v>2022</v>
      </c>
      <c r="C62" s="22">
        <v>757670</v>
      </c>
      <c r="D62" s="22">
        <v>74.069999999999993</v>
      </c>
      <c r="E62" s="23">
        <v>10.79</v>
      </c>
      <c r="F62" s="23">
        <v>73.09</v>
      </c>
      <c r="G62" s="23">
        <v>89.4</v>
      </c>
      <c r="H62" s="23">
        <v>94.79</v>
      </c>
      <c r="I62" s="23"/>
      <c r="J62" s="23">
        <v>5.84</v>
      </c>
      <c r="K62" s="24">
        <v>29109.8</v>
      </c>
      <c r="L62" s="22">
        <v>6668</v>
      </c>
      <c r="M62" s="23">
        <v>72.39</v>
      </c>
      <c r="N62" s="23">
        <v>17.892110857185429</v>
      </c>
      <c r="O62" s="24">
        <v>2425816.666666667</v>
      </c>
      <c r="P62" s="23">
        <v>64.03389731870098</v>
      </c>
      <c r="Q62" s="13">
        <v>1</v>
      </c>
    </row>
    <row r="63" spans="1:17" ht="19.05" customHeight="1">
      <c r="A63" s="3" t="s">
        <v>60</v>
      </c>
      <c r="B63" s="16">
        <v>2023</v>
      </c>
      <c r="C63" s="17">
        <v>757670</v>
      </c>
      <c r="D63" s="17"/>
      <c r="E63" s="18">
        <v>10.79</v>
      </c>
      <c r="F63" s="18">
        <v>20.94</v>
      </c>
      <c r="G63" s="18">
        <v>89.4</v>
      </c>
      <c r="H63" s="18">
        <v>94.79</v>
      </c>
      <c r="I63" s="18"/>
      <c r="J63" s="18">
        <v>5.14</v>
      </c>
      <c r="K63" s="19">
        <v>31587.9</v>
      </c>
      <c r="L63" s="17">
        <v>6668</v>
      </c>
      <c r="M63" s="18">
        <v>72.97</v>
      </c>
      <c r="N63" s="18">
        <v>18.864929947462379</v>
      </c>
      <c r="O63" s="19">
        <v>2632325</v>
      </c>
      <c r="P63" s="18">
        <v>64.71489074498264</v>
      </c>
      <c r="Q63" s="13">
        <v>1</v>
      </c>
    </row>
    <row r="64" spans="1:17" ht="19.05" customHeight="1">
      <c r="A64" s="20" t="s">
        <v>60</v>
      </c>
      <c r="B64" s="21">
        <v>2024</v>
      </c>
      <c r="C64" s="22">
        <v>757670</v>
      </c>
      <c r="D64" s="22"/>
      <c r="E64" s="23">
        <v>10.79</v>
      </c>
      <c r="F64" s="23">
        <v>20.14</v>
      </c>
      <c r="G64" s="23">
        <v>89.4</v>
      </c>
      <c r="H64" s="23">
        <v>94.79</v>
      </c>
      <c r="I64" s="23"/>
      <c r="J64" s="23">
        <v>4.34</v>
      </c>
      <c r="K64" s="24">
        <v>33712.400000000001</v>
      </c>
      <c r="L64" s="22">
        <v>6668</v>
      </c>
      <c r="M64" s="23">
        <v>74.81</v>
      </c>
      <c r="N64" s="23">
        <v>19.8007969481536</v>
      </c>
      <c r="O64" s="24">
        <v>2809366.666666667</v>
      </c>
      <c r="P64" s="23">
        <v>65.882829360686273</v>
      </c>
      <c r="Q64" s="13">
        <v>1</v>
      </c>
    </row>
    <row r="65" spans="1:17" ht="19.05" customHeight="1">
      <c r="A65" s="3" t="s">
        <v>61</v>
      </c>
      <c r="B65" s="16">
        <v>2020</v>
      </c>
      <c r="C65" s="17">
        <v>670800</v>
      </c>
      <c r="D65" s="17"/>
      <c r="E65" s="18">
        <v>10.66</v>
      </c>
      <c r="F65" s="18">
        <v>28.47</v>
      </c>
      <c r="G65" s="18">
        <v>88.65</v>
      </c>
      <c r="H65" s="18">
        <v>99.46</v>
      </c>
      <c r="I65" s="18"/>
      <c r="J65" s="18">
        <v>3.74</v>
      </c>
      <c r="K65" s="19">
        <v>28023.8</v>
      </c>
      <c r="L65" s="17">
        <v>974</v>
      </c>
      <c r="M65" s="18">
        <v>73.92</v>
      </c>
      <c r="N65" s="18">
        <v>15.284708049236491</v>
      </c>
      <c r="O65" s="19">
        <v>2335316.666666667</v>
      </c>
      <c r="P65" s="18">
        <v>63.217480638109151</v>
      </c>
      <c r="Q65" s="13">
        <v>1</v>
      </c>
    </row>
    <row r="66" spans="1:17" ht="19.05" customHeight="1">
      <c r="A66" s="20" t="s">
        <v>61</v>
      </c>
      <c r="B66" s="21">
        <v>2021</v>
      </c>
      <c r="C66" s="22">
        <v>674570</v>
      </c>
      <c r="D66" s="22">
        <v>67.75</v>
      </c>
      <c r="E66" s="23">
        <v>10.66</v>
      </c>
      <c r="F66" s="23">
        <v>28.77</v>
      </c>
      <c r="G66" s="23">
        <v>88.4</v>
      </c>
      <c r="H66" s="23">
        <v>99.9</v>
      </c>
      <c r="I66" s="23"/>
      <c r="J66" s="23">
        <v>3.86</v>
      </c>
      <c r="K66" s="24">
        <v>29080.7</v>
      </c>
      <c r="L66" s="22">
        <v>967</v>
      </c>
      <c r="M66" s="23">
        <v>74.150000000000006</v>
      </c>
      <c r="N66" s="23">
        <v>15.72082242975878</v>
      </c>
      <c r="O66" s="24">
        <v>2423391.666666667</v>
      </c>
      <c r="P66" s="23">
        <v>63.435764198350213</v>
      </c>
      <c r="Q66" s="13">
        <v>1</v>
      </c>
    </row>
    <row r="67" spans="1:17" ht="19.05" customHeight="1">
      <c r="A67" s="3" t="s">
        <v>61</v>
      </c>
      <c r="B67" s="16">
        <v>2022</v>
      </c>
      <c r="C67" s="17">
        <v>678340</v>
      </c>
      <c r="D67" s="17">
        <v>62.65</v>
      </c>
      <c r="E67" s="18">
        <v>9.84</v>
      </c>
      <c r="F67" s="18">
        <v>85.87</v>
      </c>
      <c r="G67" s="18">
        <v>91.01</v>
      </c>
      <c r="H67" s="18">
        <v>98.71</v>
      </c>
      <c r="I67" s="18"/>
      <c r="J67" s="18">
        <v>4.33</v>
      </c>
      <c r="K67" s="19">
        <v>31275.4</v>
      </c>
      <c r="L67" s="17">
        <v>960</v>
      </c>
      <c r="M67" s="18">
        <v>74.849999999999994</v>
      </c>
      <c r="N67" s="18">
        <v>14.7891857851008</v>
      </c>
      <c r="O67" s="19">
        <v>2606283.333333333</v>
      </c>
      <c r="P67" s="18">
        <v>64.068778054661905</v>
      </c>
      <c r="Q67" s="13">
        <v>1</v>
      </c>
    </row>
    <row r="68" spans="1:17" ht="19.05" customHeight="1">
      <c r="A68" s="20" t="s">
        <v>61</v>
      </c>
      <c r="B68" s="21">
        <v>2023</v>
      </c>
      <c r="C68" s="22">
        <v>678340</v>
      </c>
      <c r="D68" s="22"/>
      <c r="E68" s="23">
        <v>9.84</v>
      </c>
      <c r="F68" s="23">
        <v>23.17</v>
      </c>
      <c r="G68" s="23">
        <v>91.01</v>
      </c>
      <c r="H68" s="23">
        <v>98.71</v>
      </c>
      <c r="I68" s="23"/>
      <c r="J68" s="23">
        <v>4.16</v>
      </c>
      <c r="K68" s="24">
        <v>33627.199999999997</v>
      </c>
      <c r="L68" s="22">
        <v>960</v>
      </c>
      <c r="M68" s="23">
        <v>75.41</v>
      </c>
      <c r="N68" s="23">
        <v>14.86259834814032</v>
      </c>
      <c r="O68" s="24">
        <v>2802266.666666667</v>
      </c>
      <c r="P68" s="23">
        <v>64.326660776064756</v>
      </c>
      <c r="Q68" s="13">
        <v>1</v>
      </c>
    </row>
    <row r="69" spans="1:17" ht="19.05" customHeight="1">
      <c r="A69" s="3" t="s">
        <v>61</v>
      </c>
      <c r="B69" s="16">
        <v>2024</v>
      </c>
      <c r="C69" s="17">
        <v>678340</v>
      </c>
      <c r="D69" s="17"/>
      <c r="E69" s="18">
        <v>9.84</v>
      </c>
      <c r="F69" s="18">
        <v>20.61</v>
      </c>
      <c r="G69" s="18">
        <v>91.01</v>
      </c>
      <c r="H69" s="18">
        <v>98.71</v>
      </c>
      <c r="I69" s="18"/>
      <c r="J69" s="18">
        <v>3.28</v>
      </c>
      <c r="K69" s="19">
        <v>35853.1</v>
      </c>
      <c r="L69" s="17">
        <v>960</v>
      </c>
      <c r="M69" s="18">
        <v>76.77</v>
      </c>
      <c r="N69" s="18">
        <v>17.43331421247224</v>
      </c>
      <c r="O69" s="19">
        <v>2987758.333333333</v>
      </c>
      <c r="P69" s="18">
        <v>66.057145021141025</v>
      </c>
      <c r="Q69" s="13">
        <v>1</v>
      </c>
    </row>
    <row r="70" spans="1:17" ht="19.05" customHeight="1">
      <c r="A70" s="20" t="s">
        <v>62</v>
      </c>
      <c r="B70" s="21">
        <v>2020</v>
      </c>
      <c r="C70" s="22">
        <v>2654400</v>
      </c>
      <c r="D70" s="22"/>
      <c r="E70" s="23">
        <v>10.5</v>
      </c>
      <c r="F70" s="23">
        <v>33.909999999999997</v>
      </c>
      <c r="G70" s="23">
        <v>80.989999999999995</v>
      </c>
      <c r="H70" s="23">
        <v>95.48</v>
      </c>
      <c r="I70" s="23"/>
      <c r="J70" s="23">
        <v>5.49</v>
      </c>
      <c r="K70" s="24">
        <v>38495.199999999997</v>
      </c>
      <c r="L70" s="22">
        <v>752</v>
      </c>
      <c r="M70" s="23">
        <v>70.36</v>
      </c>
      <c r="N70" s="23">
        <v>17.970493715971259</v>
      </c>
      <c r="O70" s="24">
        <v>3207933.333333333</v>
      </c>
      <c r="P70" s="23">
        <v>60.735074022755967</v>
      </c>
      <c r="Q70" s="13">
        <v>1</v>
      </c>
    </row>
    <row r="71" spans="1:17" ht="19.05" customHeight="1">
      <c r="A71" s="3" t="s">
        <v>62</v>
      </c>
      <c r="B71" s="16">
        <v>2021</v>
      </c>
      <c r="C71" s="17">
        <v>2670150</v>
      </c>
      <c r="D71" s="17">
        <v>276.58</v>
      </c>
      <c r="E71" s="18">
        <v>10.5</v>
      </c>
      <c r="F71" s="18">
        <v>34.64</v>
      </c>
      <c r="G71" s="18">
        <v>80.790000000000006</v>
      </c>
      <c r="H71" s="18">
        <v>94.14</v>
      </c>
      <c r="I71" s="18"/>
      <c r="J71" s="18">
        <v>5.4</v>
      </c>
      <c r="K71" s="19">
        <v>40056.699999999997</v>
      </c>
      <c r="L71" s="17">
        <v>762.5</v>
      </c>
      <c r="M71" s="18">
        <v>70.599999999999994</v>
      </c>
      <c r="N71" s="18">
        <v>16.372638937759831</v>
      </c>
      <c r="O71" s="19">
        <v>3338058.333333333</v>
      </c>
      <c r="P71" s="18">
        <v>60.033602586658382</v>
      </c>
      <c r="Q71" s="13">
        <v>1</v>
      </c>
    </row>
    <row r="72" spans="1:17" ht="19.05" customHeight="1">
      <c r="A72" s="20" t="s">
        <v>62</v>
      </c>
      <c r="B72" s="21">
        <v>2022</v>
      </c>
      <c r="C72" s="22">
        <v>2685900</v>
      </c>
      <c r="D72" s="22">
        <v>252.88</v>
      </c>
      <c r="E72" s="23">
        <v>9.5500000000000007</v>
      </c>
      <c r="F72" s="23">
        <v>64.52</v>
      </c>
      <c r="G72" s="23">
        <v>81.8</v>
      </c>
      <c r="H72" s="23">
        <v>96.02</v>
      </c>
      <c r="I72" s="23"/>
      <c r="J72" s="23">
        <v>6.57</v>
      </c>
      <c r="K72" s="24">
        <v>43581.3</v>
      </c>
      <c r="L72" s="22">
        <v>773</v>
      </c>
      <c r="M72" s="23">
        <v>71.38</v>
      </c>
      <c r="N72" s="23">
        <v>17.89053293140293</v>
      </c>
      <c r="O72" s="24">
        <v>3631775</v>
      </c>
      <c r="P72" s="23">
        <v>61.34916904526289</v>
      </c>
      <c r="Q72" s="13">
        <v>1</v>
      </c>
    </row>
    <row r="73" spans="1:17" ht="19.05" customHeight="1">
      <c r="A73" s="3" t="s">
        <v>62</v>
      </c>
      <c r="B73" s="16">
        <v>2023</v>
      </c>
      <c r="C73" s="17">
        <v>2685900</v>
      </c>
      <c r="D73" s="17"/>
      <c r="E73" s="18">
        <v>9.5500000000000007</v>
      </c>
      <c r="F73" s="18">
        <v>29.7</v>
      </c>
      <c r="G73" s="18">
        <v>81.8</v>
      </c>
      <c r="H73" s="18">
        <v>96.02</v>
      </c>
      <c r="I73" s="18"/>
      <c r="J73" s="18">
        <v>5.7</v>
      </c>
      <c r="K73" s="19">
        <v>47272.2</v>
      </c>
      <c r="L73" s="17">
        <v>773</v>
      </c>
      <c r="M73" s="18">
        <v>72.16</v>
      </c>
      <c r="N73" s="18">
        <v>17.323492247989272</v>
      </c>
      <c r="O73" s="19">
        <v>3939350</v>
      </c>
      <c r="P73" s="18">
        <v>61.399457960610427</v>
      </c>
      <c r="Q73" s="13">
        <v>1</v>
      </c>
    </row>
    <row r="74" spans="1:17" ht="19.05" customHeight="1">
      <c r="A74" s="20" t="s">
        <v>62</v>
      </c>
      <c r="B74" s="21">
        <v>2024</v>
      </c>
      <c r="C74" s="22">
        <v>2685900</v>
      </c>
      <c r="D74" s="22"/>
      <c r="E74" s="23">
        <v>9.5500000000000007</v>
      </c>
      <c r="F74" s="23">
        <v>28.29</v>
      </c>
      <c r="G74" s="23">
        <v>81.8</v>
      </c>
      <c r="H74" s="23">
        <v>96.02</v>
      </c>
      <c r="I74" s="23"/>
      <c r="J74" s="23">
        <v>5.13</v>
      </c>
      <c r="K74" s="24">
        <v>50593.4</v>
      </c>
      <c r="L74" s="22">
        <v>773</v>
      </c>
      <c r="M74" s="23">
        <v>73.53</v>
      </c>
      <c r="N74" s="23">
        <v>16.285132182742739</v>
      </c>
      <c r="O74" s="24">
        <v>4216116.666666667</v>
      </c>
      <c r="P74" s="23">
        <v>61.468214853573571</v>
      </c>
      <c r="Q74" s="13">
        <v>1</v>
      </c>
    </row>
    <row r="75" spans="1:17" ht="19.05" customHeight="1">
      <c r="A75" s="3" t="s">
        <v>63</v>
      </c>
      <c r="B75" s="16">
        <v>2020</v>
      </c>
      <c r="C75" s="17">
        <v>1119200</v>
      </c>
      <c r="D75" s="17"/>
      <c r="E75" s="18">
        <v>10.62</v>
      </c>
      <c r="F75" s="18">
        <v>14.3</v>
      </c>
      <c r="G75" s="18">
        <v>91.02</v>
      </c>
      <c r="H75" s="18">
        <v>99.2</v>
      </c>
      <c r="I75" s="18"/>
      <c r="J75" s="18">
        <v>5.75</v>
      </c>
      <c r="K75" s="19">
        <v>73335.5</v>
      </c>
      <c r="L75" s="17">
        <v>1559</v>
      </c>
      <c r="M75" s="18">
        <v>73.83</v>
      </c>
      <c r="N75" s="18">
        <v>19.262834773690621</v>
      </c>
      <c r="O75" s="19">
        <v>6111291.666666667</v>
      </c>
      <c r="P75" s="18">
        <v>65.728539126318736</v>
      </c>
      <c r="Q75" s="13">
        <v>1</v>
      </c>
    </row>
    <row r="76" spans="1:17" ht="19.05" customHeight="1">
      <c r="A76" s="20" t="s">
        <v>63</v>
      </c>
      <c r="B76" s="21">
        <v>2021</v>
      </c>
      <c r="C76" s="22">
        <v>1126390</v>
      </c>
      <c r="D76" s="22">
        <v>120.54</v>
      </c>
      <c r="E76" s="23">
        <v>10.62</v>
      </c>
      <c r="F76" s="23">
        <v>14.37</v>
      </c>
      <c r="G76" s="23">
        <v>87.34</v>
      </c>
      <c r="H76" s="23">
        <v>98.37</v>
      </c>
      <c r="I76" s="23"/>
      <c r="J76" s="23">
        <v>5.54</v>
      </c>
      <c r="K76" s="24">
        <v>77339.7</v>
      </c>
      <c r="L76" s="22">
        <v>1355</v>
      </c>
      <c r="M76" s="23">
        <v>74.150000000000006</v>
      </c>
      <c r="N76" s="23">
        <v>20.639418675180259</v>
      </c>
      <c r="O76" s="24">
        <v>6444975</v>
      </c>
      <c r="P76" s="23">
        <v>65.387885542390904</v>
      </c>
      <c r="Q76" s="13">
        <v>1</v>
      </c>
    </row>
    <row r="77" spans="1:17" ht="19.05" customHeight="1">
      <c r="A77" s="3" t="s">
        <v>63</v>
      </c>
      <c r="B77" s="16">
        <v>2022</v>
      </c>
      <c r="C77" s="17">
        <v>1133580</v>
      </c>
      <c r="D77" s="17">
        <v>111.03</v>
      </c>
      <c r="E77" s="18">
        <v>9.7100000000000009</v>
      </c>
      <c r="F77" s="18">
        <v>86.76</v>
      </c>
      <c r="G77" s="18">
        <v>89.87</v>
      </c>
      <c r="H77" s="18">
        <v>97.05</v>
      </c>
      <c r="I77" s="18"/>
      <c r="J77" s="18">
        <v>4.83</v>
      </c>
      <c r="K77" s="19">
        <v>84307.4</v>
      </c>
      <c r="L77" s="17">
        <v>1151</v>
      </c>
      <c r="M77" s="18">
        <v>74.89</v>
      </c>
      <c r="N77" s="18">
        <v>18.770634748207481</v>
      </c>
      <c r="O77" s="19">
        <v>7025616.666666667</v>
      </c>
      <c r="P77" s="18">
        <v>65.580369883788066</v>
      </c>
      <c r="Q77" s="13">
        <v>1</v>
      </c>
    </row>
    <row r="78" spans="1:17" ht="19.05" customHeight="1">
      <c r="A78" s="20" t="s">
        <v>63</v>
      </c>
      <c r="B78" s="21">
        <v>2023</v>
      </c>
      <c r="C78" s="22">
        <v>1133580</v>
      </c>
      <c r="D78" s="22"/>
      <c r="E78" s="23">
        <v>9.7100000000000009</v>
      </c>
      <c r="F78" s="23">
        <v>15.17</v>
      </c>
      <c r="G78" s="23">
        <v>89.87</v>
      </c>
      <c r="H78" s="23">
        <v>97.05</v>
      </c>
      <c r="I78" s="23"/>
      <c r="J78" s="23">
        <v>4.67</v>
      </c>
      <c r="K78" s="24">
        <v>91112</v>
      </c>
      <c r="L78" s="22">
        <v>1151</v>
      </c>
      <c r="M78" s="23">
        <v>75.53</v>
      </c>
      <c r="N78" s="23">
        <v>20.88524807232854</v>
      </c>
      <c r="O78" s="24">
        <v>7592666.666666667</v>
      </c>
      <c r="P78" s="23">
        <v>66.812345264151631</v>
      </c>
      <c r="Q78" s="13">
        <v>1</v>
      </c>
    </row>
    <row r="79" spans="1:17" ht="19.05" customHeight="1">
      <c r="A79" s="3" t="s">
        <v>63</v>
      </c>
      <c r="B79" s="16">
        <v>2024</v>
      </c>
      <c r="C79" s="17">
        <v>1133580</v>
      </c>
      <c r="D79" s="17"/>
      <c r="E79" s="18">
        <v>9.7100000000000009</v>
      </c>
      <c r="F79" s="18">
        <v>15.01</v>
      </c>
      <c r="G79" s="18">
        <v>89.87</v>
      </c>
      <c r="H79" s="18">
        <v>97.05</v>
      </c>
      <c r="I79" s="18"/>
      <c r="J79" s="18">
        <v>3.87</v>
      </c>
      <c r="K79" s="19">
        <v>98010.9</v>
      </c>
      <c r="L79" s="17">
        <v>1151</v>
      </c>
      <c r="M79" s="18">
        <v>76.69</v>
      </c>
      <c r="N79" s="18">
        <v>16.04645450545237</v>
      </c>
      <c r="O79" s="19">
        <v>8167575</v>
      </c>
      <c r="P79" s="18">
        <v>65.043055925593407</v>
      </c>
      <c r="Q79" s="13">
        <v>1</v>
      </c>
    </row>
    <row r="80" spans="1:17" ht="19.05" customHeight="1">
      <c r="A80" s="20" t="s">
        <v>64</v>
      </c>
      <c r="B80" s="21">
        <v>2020</v>
      </c>
      <c r="C80" s="22">
        <v>1103900</v>
      </c>
      <c r="D80" s="22"/>
      <c r="E80" s="23">
        <v>11.85</v>
      </c>
      <c r="F80" s="23">
        <v>15.21</v>
      </c>
      <c r="G80" s="23">
        <v>85.75</v>
      </c>
      <c r="H80" s="23">
        <v>99.45</v>
      </c>
      <c r="I80" s="23"/>
      <c r="J80" s="23">
        <v>4.8</v>
      </c>
      <c r="K80" s="24">
        <v>24134.3</v>
      </c>
      <c r="L80" s="22">
        <v>902</v>
      </c>
      <c r="M80" s="23">
        <v>71.72</v>
      </c>
      <c r="N80" s="23">
        <v>16.380293789705739</v>
      </c>
      <c r="O80" s="24">
        <v>2011191.666666667</v>
      </c>
      <c r="P80" s="23">
        <v>61.973135595248799</v>
      </c>
      <c r="Q80" s="13">
        <v>1</v>
      </c>
    </row>
    <row r="81" spans="1:17" ht="19.05" customHeight="1">
      <c r="A81" s="3" t="s">
        <v>64</v>
      </c>
      <c r="B81" s="16">
        <v>2021</v>
      </c>
      <c r="C81" s="17">
        <v>1110465</v>
      </c>
      <c r="D81" s="17">
        <v>125.53</v>
      </c>
      <c r="E81" s="18">
        <v>11.85</v>
      </c>
      <c r="F81" s="18">
        <v>17.48</v>
      </c>
      <c r="G81" s="18">
        <v>81.84</v>
      </c>
      <c r="H81" s="18">
        <v>99.03</v>
      </c>
      <c r="I81" s="18"/>
      <c r="J81" s="18">
        <v>4.9800000000000004</v>
      </c>
      <c r="K81" s="19">
        <v>25279.599999999999</v>
      </c>
      <c r="L81" s="17">
        <v>884.5</v>
      </c>
      <c r="M81" s="18">
        <v>71.97</v>
      </c>
      <c r="N81" s="18">
        <v>15.59086606158262</v>
      </c>
      <c r="O81" s="19">
        <v>2106633.333333333</v>
      </c>
      <c r="P81" s="18">
        <v>60.535784336115057</v>
      </c>
      <c r="Q81" s="13">
        <v>1</v>
      </c>
    </row>
    <row r="82" spans="1:17" ht="19.05" customHeight="1">
      <c r="A82" s="20" t="s">
        <v>64</v>
      </c>
      <c r="B82" s="21">
        <v>2022</v>
      </c>
      <c r="C82" s="22">
        <v>1117030</v>
      </c>
      <c r="D82" s="22">
        <v>113.63</v>
      </c>
      <c r="E82" s="23">
        <v>10.7</v>
      </c>
      <c r="F82" s="23">
        <v>84.17</v>
      </c>
      <c r="G82" s="23">
        <v>83.36</v>
      </c>
      <c r="H82" s="23">
        <v>98.67</v>
      </c>
      <c r="I82" s="23"/>
      <c r="J82" s="23">
        <v>4.74</v>
      </c>
      <c r="K82" s="24">
        <v>27583.200000000001</v>
      </c>
      <c r="L82" s="22">
        <v>867</v>
      </c>
      <c r="M82" s="23">
        <v>72.930000000000007</v>
      </c>
      <c r="N82" s="23">
        <v>15.321643378384261</v>
      </c>
      <c r="O82" s="24">
        <v>2298600</v>
      </c>
      <c r="P82" s="23">
        <v>61.251527713100437</v>
      </c>
      <c r="Q82" s="13">
        <v>1</v>
      </c>
    </row>
    <row r="83" spans="1:17" ht="19.05" customHeight="1">
      <c r="A83" s="3" t="s">
        <v>64</v>
      </c>
      <c r="B83" s="16">
        <v>2023</v>
      </c>
      <c r="C83" s="17">
        <v>1117030</v>
      </c>
      <c r="D83" s="17"/>
      <c r="E83" s="18">
        <v>10.7</v>
      </c>
      <c r="F83" s="18">
        <v>19.66</v>
      </c>
      <c r="G83" s="18">
        <v>83.36</v>
      </c>
      <c r="H83" s="18">
        <v>98.67</v>
      </c>
      <c r="I83" s="18"/>
      <c r="J83" s="18">
        <v>4.68</v>
      </c>
      <c r="K83" s="19">
        <v>29916.6</v>
      </c>
      <c r="L83" s="17">
        <v>867</v>
      </c>
      <c r="M83" s="18">
        <v>73.709999999999994</v>
      </c>
      <c r="N83" s="18">
        <v>15.993581677148439</v>
      </c>
      <c r="O83" s="19">
        <v>2493050</v>
      </c>
      <c r="P83" s="18">
        <v>61.873653081760807</v>
      </c>
      <c r="Q83" s="13">
        <v>1</v>
      </c>
    </row>
    <row r="84" spans="1:17" ht="19.05" customHeight="1">
      <c r="A84" s="20" t="s">
        <v>64</v>
      </c>
      <c r="B84" s="21">
        <v>2024</v>
      </c>
      <c r="C84" s="22">
        <v>1117030</v>
      </c>
      <c r="D84" s="22"/>
      <c r="E84" s="23">
        <v>10.7</v>
      </c>
      <c r="F84" s="23">
        <v>20.43</v>
      </c>
      <c r="G84" s="23">
        <v>83.36</v>
      </c>
      <c r="H84" s="23">
        <v>98.67</v>
      </c>
      <c r="I84" s="23"/>
      <c r="J84" s="23">
        <v>3.87</v>
      </c>
      <c r="K84" s="24">
        <v>32047.5</v>
      </c>
      <c r="L84" s="22">
        <v>867</v>
      </c>
      <c r="M84" s="23">
        <v>75.239999999999995</v>
      </c>
      <c r="N84" s="23">
        <v>13.67040021508131</v>
      </c>
      <c r="O84" s="24">
        <v>2670625</v>
      </c>
      <c r="P84" s="23">
        <v>61.413415483883682</v>
      </c>
      <c r="Q84" s="13">
        <v>1</v>
      </c>
    </row>
    <row r="85" spans="1:17" ht="19.05" customHeight="1">
      <c r="A85" s="3" t="s">
        <v>65</v>
      </c>
      <c r="B85" s="16">
        <v>2020</v>
      </c>
      <c r="C85" s="17">
        <v>870100</v>
      </c>
      <c r="D85" s="17"/>
      <c r="E85" s="18">
        <v>15.57</v>
      </c>
      <c r="F85" s="18">
        <v>16.09</v>
      </c>
      <c r="G85" s="18">
        <v>83.67</v>
      </c>
      <c r="H85" s="18">
        <v>99.49</v>
      </c>
      <c r="I85" s="18"/>
      <c r="J85" s="18">
        <v>5.44</v>
      </c>
      <c r="K85" s="19">
        <v>23322.7</v>
      </c>
      <c r="L85" s="17">
        <v>671</v>
      </c>
      <c r="M85" s="18">
        <v>70.540000000000006</v>
      </c>
      <c r="N85" s="18">
        <v>14.6898727344819</v>
      </c>
      <c r="O85" s="19">
        <v>1943558.333333333</v>
      </c>
      <c r="P85" s="18">
        <v>60.096941262068583</v>
      </c>
      <c r="Q85" s="13">
        <v>1</v>
      </c>
    </row>
    <row r="86" spans="1:17" ht="19.05" customHeight="1">
      <c r="A86" s="20" t="s">
        <v>65</v>
      </c>
      <c r="B86" s="21">
        <v>2021</v>
      </c>
      <c r="C86" s="22">
        <v>873765</v>
      </c>
      <c r="D86" s="22">
        <v>130.81</v>
      </c>
      <c r="E86" s="23">
        <v>15.57</v>
      </c>
      <c r="F86" s="23">
        <v>16.43</v>
      </c>
      <c r="G86" s="23">
        <v>79.349999999999994</v>
      </c>
      <c r="H86" s="23">
        <v>99.92</v>
      </c>
      <c r="I86" s="23"/>
      <c r="J86" s="23">
        <v>4.25</v>
      </c>
      <c r="K86" s="24">
        <v>23838.3</v>
      </c>
      <c r="L86" s="22">
        <v>650</v>
      </c>
      <c r="M86" s="23">
        <v>71.040000000000006</v>
      </c>
      <c r="N86" s="23">
        <v>15.398523946061379</v>
      </c>
      <c r="O86" s="24">
        <v>1986525</v>
      </c>
      <c r="P86" s="23">
        <v>59.32801105202833</v>
      </c>
      <c r="Q86" s="13">
        <v>1</v>
      </c>
    </row>
    <row r="87" spans="1:17" ht="19.05" customHeight="1">
      <c r="A87" s="3" t="s">
        <v>65</v>
      </c>
      <c r="B87" s="16">
        <v>2022</v>
      </c>
      <c r="C87" s="17">
        <v>877430</v>
      </c>
      <c r="D87" s="17">
        <v>119.02</v>
      </c>
      <c r="E87" s="18">
        <v>14.15</v>
      </c>
      <c r="F87" s="18">
        <v>76.37</v>
      </c>
      <c r="G87" s="18">
        <v>84.26</v>
      </c>
      <c r="H87" s="18">
        <v>99.16</v>
      </c>
      <c r="I87" s="18"/>
      <c r="J87" s="18">
        <v>2.48</v>
      </c>
      <c r="K87" s="19">
        <v>25602.3</v>
      </c>
      <c r="L87" s="17">
        <v>629</v>
      </c>
      <c r="M87" s="18">
        <v>71.75</v>
      </c>
      <c r="N87" s="18">
        <v>16.88252403718521</v>
      </c>
      <c r="O87" s="19">
        <v>2133525</v>
      </c>
      <c r="P87" s="18">
        <v>61.769934171008558</v>
      </c>
      <c r="Q87" s="13">
        <v>1</v>
      </c>
    </row>
    <row r="88" spans="1:17" ht="19.05" customHeight="1">
      <c r="A88" s="20" t="s">
        <v>65</v>
      </c>
      <c r="B88" s="21">
        <v>2023</v>
      </c>
      <c r="C88" s="22">
        <v>877430</v>
      </c>
      <c r="D88" s="22"/>
      <c r="E88" s="23">
        <v>14.15</v>
      </c>
      <c r="F88" s="23">
        <v>13.32</v>
      </c>
      <c r="G88" s="23">
        <v>84.26</v>
      </c>
      <c r="H88" s="23">
        <v>99.16</v>
      </c>
      <c r="I88" s="23"/>
      <c r="J88" s="23">
        <v>2.41</v>
      </c>
      <c r="K88" s="24">
        <v>27619.3</v>
      </c>
      <c r="L88" s="22">
        <v>629</v>
      </c>
      <c r="M88" s="23">
        <v>72.47</v>
      </c>
      <c r="N88" s="23">
        <v>14.67670845283331</v>
      </c>
      <c r="O88" s="24">
        <v>2301608.333333333</v>
      </c>
      <c r="P88" s="23">
        <v>61.039865439769223</v>
      </c>
      <c r="Q88" s="13">
        <v>1</v>
      </c>
    </row>
    <row r="89" spans="1:17" ht="19.05" customHeight="1">
      <c r="A89" s="3" t="s">
        <v>65</v>
      </c>
      <c r="B89" s="16">
        <v>2024</v>
      </c>
      <c r="C89" s="17">
        <v>877430</v>
      </c>
      <c r="D89" s="17"/>
      <c r="E89" s="18">
        <v>14.15</v>
      </c>
      <c r="F89" s="18">
        <v>11.75</v>
      </c>
      <c r="G89" s="18">
        <v>84.26</v>
      </c>
      <c r="H89" s="18">
        <v>99.16</v>
      </c>
      <c r="I89" s="18"/>
      <c r="J89" s="18">
        <v>2.4</v>
      </c>
      <c r="K89" s="19">
        <v>29346.5</v>
      </c>
      <c r="L89" s="17">
        <v>629</v>
      </c>
      <c r="M89" s="18">
        <v>73.91</v>
      </c>
      <c r="N89" s="18">
        <v>14.480086603867329</v>
      </c>
      <c r="O89" s="19">
        <v>2445541.666666667</v>
      </c>
      <c r="P89" s="18">
        <v>61.525116894092612</v>
      </c>
      <c r="Q89" s="13">
        <v>1</v>
      </c>
    </row>
    <row r="90" spans="1:17" ht="19.05" customHeight="1">
      <c r="A90" s="20" t="s">
        <v>66</v>
      </c>
      <c r="B90" s="21">
        <v>2020</v>
      </c>
      <c r="C90" s="22">
        <v>586100</v>
      </c>
      <c r="D90" s="22"/>
      <c r="E90" s="23">
        <v>15.11</v>
      </c>
      <c r="F90" s="23">
        <v>14.71</v>
      </c>
      <c r="G90" s="23">
        <v>69.900000000000006</v>
      </c>
      <c r="H90" s="23">
        <v>84.43</v>
      </c>
      <c r="I90" s="23"/>
      <c r="J90" s="23">
        <v>2.2799999999999998</v>
      </c>
      <c r="K90" s="24">
        <v>26972.400000000001</v>
      </c>
      <c r="L90" s="22">
        <v>422</v>
      </c>
      <c r="M90" s="23">
        <v>68.39</v>
      </c>
      <c r="N90" s="23">
        <v>14.158321424388721</v>
      </c>
      <c r="O90" s="24">
        <v>2247700</v>
      </c>
      <c r="P90" s="23">
        <v>54.860609888179418</v>
      </c>
      <c r="Q90" s="13">
        <v>1</v>
      </c>
    </row>
    <row r="91" spans="1:17" ht="19.05" customHeight="1">
      <c r="A91" s="3" t="s">
        <v>66</v>
      </c>
      <c r="B91" s="16">
        <v>2021</v>
      </c>
      <c r="C91" s="17">
        <v>589510</v>
      </c>
      <c r="D91" s="17">
        <v>84.19</v>
      </c>
      <c r="E91" s="18">
        <v>15.11</v>
      </c>
      <c r="F91" s="18">
        <v>14.8</v>
      </c>
      <c r="G91" s="18">
        <v>71.7</v>
      </c>
      <c r="H91" s="18">
        <v>76.709999999999994</v>
      </c>
      <c r="I91" s="18"/>
      <c r="J91" s="18">
        <v>2.04</v>
      </c>
      <c r="K91" s="19">
        <v>27932.3</v>
      </c>
      <c r="L91" s="17">
        <v>418</v>
      </c>
      <c r="M91" s="18">
        <v>68.569999999999993</v>
      </c>
      <c r="N91" s="18">
        <v>15.93490777096649</v>
      </c>
      <c r="O91" s="19">
        <v>2327691.666666667</v>
      </c>
      <c r="P91" s="18">
        <v>56.292572817369148</v>
      </c>
      <c r="Q91" s="13">
        <v>1</v>
      </c>
    </row>
    <row r="92" spans="1:17" ht="19.05" customHeight="1">
      <c r="A92" s="20" t="s">
        <v>66</v>
      </c>
      <c r="B92" s="21">
        <v>2022</v>
      </c>
      <c r="C92" s="22">
        <v>592920</v>
      </c>
      <c r="D92" s="22">
        <v>76.930000000000007</v>
      </c>
      <c r="E92" s="23">
        <v>13.8</v>
      </c>
      <c r="F92" s="23">
        <v>78.45</v>
      </c>
      <c r="G92" s="23">
        <v>72.64</v>
      </c>
      <c r="H92" s="23">
        <v>83.95</v>
      </c>
      <c r="I92" s="23"/>
      <c r="J92" s="23">
        <v>3.65</v>
      </c>
      <c r="K92" s="24">
        <v>30627.3</v>
      </c>
      <c r="L92" s="22">
        <v>414</v>
      </c>
      <c r="M92" s="23">
        <v>69.37</v>
      </c>
      <c r="N92" s="23">
        <v>15.449658117851561</v>
      </c>
      <c r="O92" s="24">
        <v>2552275</v>
      </c>
      <c r="P92" s="23">
        <v>56.670611439008418</v>
      </c>
      <c r="Q92" s="13">
        <v>1</v>
      </c>
    </row>
    <row r="93" spans="1:17" ht="19.05" customHeight="1">
      <c r="A93" s="3" t="s">
        <v>66</v>
      </c>
      <c r="B93" s="16">
        <v>2023</v>
      </c>
      <c r="C93" s="17">
        <v>592920</v>
      </c>
      <c r="D93" s="17"/>
      <c r="E93" s="18">
        <v>13.8</v>
      </c>
      <c r="F93" s="18">
        <v>12.14</v>
      </c>
      <c r="G93" s="18">
        <v>72.64</v>
      </c>
      <c r="H93" s="18">
        <v>83.95</v>
      </c>
      <c r="I93" s="18"/>
      <c r="J93" s="18">
        <v>1.83</v>
      </c>
      <c r="K93" s="19">
        <v>33148.6</v>
      </c>
      <c r="L93" s="17">
        <v>414</v>
      </c>
      <c r="M93" s="18">
        <v>70.19</v>
      </c>
      <c r="N93" s="18">
        <v>14.617216330181609</v>
      </c>
      <c r="O93" s="19">
        <v>2762383.333333333</v>
      </c>
      <c r="P93" s="18">
        <v>56.614407537006898</v>
      </c>
      <c r="Q93" s="13">
        <v>1</v>
      </c>
    </row>
    <row r="94" spans="1:17" ht="19.05" customHeight="1">
      <c r="A94" s="20" t="s">
        <v>66</v>
      </c>
      <c r="B94" s="21">
        <v>2024</v>
      </c>
      <c r="C94" s="22">
        <v>592920</v>
      </c>
      <c r="D94" s="22"/>
      <c r="E94" s="23">
        <v>13.8</v>
      </c>
      <c r="F94" s="23">
        <v>10.75</v>
      </c>
      <c r="G94" s="23">
        <v>72.64</v>
      </c>
      <c r="H94" s="23">
        <v>83.95</v>
      </c>
      <c r="I94" s="23"/>
      <c r="J94" s="23">
        <v>1.56</v>
      </c>
      <c r="K94" s="24">
        <v>35096.300000000003</v>
      </c>
      <c r="L94" s="22">
        <v>414</v>
      </c>
      <c r="M94" s="23">
        <v>71.489999999999995</v>
      </c>
      <c r="N94" s="23">
        <v>16.011587565306879</v>
      </c>
      <c r="O94" s="24">
        <v>2924691.666666667</v>
      </c>
      <c r="P94" s="23">
        <v>57.777963491680097</v>
      </c>
      <c r="Q94" s="13">
        <v>1</v>
      </c>
    </row>
    <row r="95" spans="1:17" ht="19.05" customHeight="1">
      <c r="A95" s="3" t="s">
        <v>67</v>
      </c>
      <c r="B95" s="16">
        <v>2020</v>
      </c>
      <c r="C95" s="17">
        <v>850100</v>
      </c>
      <c r="D95" s="17"/>
      <c r="E95" s="18">
        <v>15.3</v>
      </c>
      <c r="F95" s="18">
        <v>20.54</v>
      </c>
      <c r="G95" s="18">
        <v>68.25</v>
      </c>
      <c r="H95" s="18">
        <v>90.49</v>
      </c>
      <c r="I95" s="18"/>
      <c r="J95" s="18">
        <v>3.49</v>
      </c>
      <c r="K95" s="19">
        <v>19778.599999999999</v>
      </c>
      <c r="L95" s="17">
        <v>1073</v>
      </c>
      <c r="M95" s="18">
        <v>66.260000000000005</v>
      </c>
      <c r="N95" s="18">
        <v>15.221239110643429</v>
      </c>
      <c r="O95" s="19">
        <v>1648216.666666667</v>
      </c>
      <c r="P95" s="18">
        <v>54.004187281835428</v>
      </c>
      <c r="Q95" s="13">
        <v>1</v>
      </c>
    </row>
    <row r="96" spans="1:17" ht="19.05" customHeight="1">
      <c r="A96" s="20" t="s">
        <v>67</v>
      </c>
      <c r="B96" s="21">
        <v>2021</v>
      </c>
      <c r="C96" s="22">
        <v>853960</v>
      </c>
      <c r="D96" s="22">
        <v>137.12</v>
      </c>
      <c r="E96" s="23">
        <v>15.3</v>
      </c>
      <c r="F96" s="23">
        <v>22.04</v>
      </c>
      <c r="G96" s="23">
        <v>70.849999999999994</v>
      </c>
      <c r="H96" s="23">
        <v>89.15</v>
      </c>
      <c r="I96" s="23"/>
      <c r="J96" s="23">
        <v>3.1</v>
      </c>
      <c r="K96" s="24">
        <v>20596.400000000001</v>
      </c>
      <c r="L96" s="22">
        <v>1076</v>
      </c>
      <c r="M96" s="23">
        <v>66.400000000000006</v>
      </c>
      <c r="N96" s="23">
        <v>16.37175983306626</v>
      </c>
      <c r="O96" s="24">
        <v>1716366.666666667</v>
      </c>
      <c r="P96" s="23">
        <v>55.371196846030578</v>
      </c>
      <c r="Q96" s="13">
        <v>1</v>
      </c>
    </row>
    <row r="97" spans="1:17" ht="19.05" customHeight="1">
      <c r="A97" s="3" t="s">
        <v>67</v>
      </c>
      <c r="B97" s="16">
        <v>2022</v>
      </c>
      <c r="C97" s="17">
        <v>857820</v>
      </c>
      <c r="D97" s="17">
        <v>126.02</v>
      </c>
      <c r="E97" s="18">
        <v>13.93</v>
      </c>
      <c r="F97" s="18">
        <v>73.260000000000005</v>
      </c>
      <c r="G97" s="18">
        <v>65.95</v>
      </c>
      <c r="H97" s="18">
        <v>95.24</v>
      </c>
      <c r="I97" s="18"/>
      <c r="J97" s="18">
        <v>1.4</v>
      </c>
      <c r="K97" s="19">
        <v>22225.7</v>
      </c>
      <c r="L97" s="17">
        <v>1079</v>
      </c>
      <c r="M97" s="18">
        <v>66.989999999999995</v>
      </c>
      <c r="N97" s="18">
        <v>14.560595635529699</v>
      </c>
      <c r="O97" s="19">
        <v>1852141.666666667</v>
      </c>
      <c r="P97" s="18">
        <v>53.30127490870602</v>
      </c>
      <c r="Q97" s="13">
        <v>1</v>
      </c>
    </row>
    <row r="98" spans="1:17" ht="19.05" customHeight="1">
      <c r="A98" s="20" t="s">
        <v>67</v>
      </c>
      <c r="B98" s="21">
        <v>2023</v>
      </c>
      <c r="C98" s="22">
        <v>857820</v>
      </c>
      <c r="D98" s="22"/>
      <c r="E98" s="23">
        <v>13.93</v>
      </c>
      <c r="F98" s="23">
        <v>17.48</v>
      </c>
      <c r="G98" s="23">
        <v>65.95</v>
      </c>
      <c r="H98" s="23">
        <v>95.24</v>
      </c>
      <c r="I98" s="23"/>
      <c r="J98" s="23">
        <v>1.74</v>
      </c>
      <c r="K98" s="24">
        <v>23842.1</v>
      </c>
      <c r="L98" s="22">
        <v>1079</v>
      </c>
      <c r="M98" s="23">
        <v>67.959999999999994</v>
      </c>
      <c r="N98" s="23">
        <v>15.18537389376282</v>
      </c>
      <c r="O98" s="24">
        <v>1986841.666666667</v>
      </c>
      <c r="P98" s="23">
        <v>53.977634104813603</v>
      </c>
      <c r="Q98" s="13">
        <v>1</v>
      </c>
    </row>
    <row r="99" spans="1:17" ht="19.05" customHeight="1">
      <c r="A99" s="3" t="s">
        <v>67</v>
      </c>
      <c r="B99" s="16">
        <v>2024</v>
      </c>
      <c r="C99" s="17">
        <v>857820</v>
      </c>
      <c r="D99" s="17"/>
      <c r="E99" s="18">
        <v>13.93</v>
      </c>
      <c r="F99" s="18">
        <v>19.29</v>
      </c>
      <c r="G99" s="18">
        <v>65.95</v>
      </c>
      <c r="H99" s="18">
        <v>95.24</v>
      </c>
      <c r="I99" s="18"/>
      <c r="J99" s="18">
        <v>1.64</v>
      </c>
      <c r="K99" s="19">
        <v>25423.599999999999</v>
      </c>
      <c r="L99" s="17">
        <v>1079</v>
      </c>
      <c r="M99" s="18">
        <v>70.849999999999994</v>
      </c>
      <c r="N99" s="18">
        <v>15.268601063269211</v>
      </c>
      <c r="O99" s="19">
        <v>2118633.333333333</v>
      </c>
      <c r="P99" s="18">
        <v>55.172046644585791</v>
      </c>
      <c r="Q99" s="13">
        <v>1</v>
      </c>
    </row>
    <row r="100" spans="1:17" ht="19.05" customHeight="1">
      <c r="A100" s="20" t="s">
        <v>68</v>
      </c>
      <c r="B100" s="21">
        <v>2020</v>
      </c>
      <c r="C100" s="22">
        <v>1606000</v>
      </c>
      <c r="D100" s="22"/>
      <c r="E100" s="23">
        <v>9.6999999999999993</v>
      </c>
      <c r="F100" s="23">
        <v>20.57</v>
      </c>
      <c r="G100" s="23">
        <v>80.03</v>
      </c>
      <c r="H100" s="23">
        <v>97.21</v>
      </c>
      <c r="I100" s="23"/>
      <c r="J100" s="23">
        <v>6.24</v>
      </c>
      <c r="K100" s="24">
        <v>90746.9</v>
      </c>
      <c r="L100" s="22">
        <v>1090</v>
      </c>
      <c r="M100" s="23">
        <v>68.599999999999994</v>
      </c>
      <c r="N100" s="23">
        <v>17.176075611919341</v>
      </c>
      <c r="O100" s="24">
        <v>7562241.666666667</v>
      </c>
      <c r="P100" s="23">
        <v>59.37641951319354</v>
      </c>
      <c r="Q100" s="13">
        <v>1</v>
      </c>
    </row>
    <row r="101" spans="1:17" ht="19.05" customHeight="1">
      <c r="A101" s="3" t="s">
        <v>68</v>
      </c>
      <c r="B101" s="16">
        <v>2021</v>
      </c>
      <c r="C101" s="17">
        <v>1612520</v>
      </c>
      <c r="D101" s="17">
        <v>159.78</v>
      </c>
      <c r="E101" s="18">
        <v>9.6999999999999993</v>
      </c>
      <c r="F101" s="18">
        <v>21.2</v>
      </c>
      <c r="G101" s="18">
        <v>82.92</v>
      </c>
      <c r="H101" s="18">
        <v>97.36</v>
      </c>
      <c r="I101" s="18"/>
      <c r="J101" s="18">
        <v>6.03</v>
      </c>
      <c r="K101" s="19">
        <v>97170.8</v>
      </c>
      <c r="L101" s="17">
        <v>1087</v>
      </c>
      <c r="M101" s="18">
        <v>68.930000000000007</v>
      </c>
      <c r="N101" s="18">
        <v>19.45532043150623</v>
      </c>
      <c r="O101" s="19">
        <v>8097566.666666667</v>
      </c>
      <c r="P101" s="18">
        <v>61.42737866069519</v>
      </c>
      <c r="Q101" s="13">
        <v>1</v>
      </c>
    </row>
    <row r="102" spans="1:17" ht="19.05" customHeight="1">
      <c r="A102" s="20" t="s">
        <v>68</v>
      </c>
      <c r="B102" s="21">
        <v>2022</v>
      </c>
      <c r="C102" s="22">
        <v>1619040</v>
      </c>
      <c r="D102" s="22">
        <v>148.62</v>
      </c>
      <c r="E102" s="23">
        <v>8.9600000000000009</v>
      </c>
      <c r="F102" s="23">
        <v>65.010000000000005</v>
      </c>
      <c r="G102" s="23">
        <v>83.4</v>
      </c>
      <c r="H102" s="23">
        <v>96.9</v>
      </c>
      <c r="I102" s="23"/>
      <c r="J102" s="23">
        <v>5.91</v>
      </c>
      <c r="K102" s="24">
        <v>105849.8</v>
      </c>
      <c r="L102" s="22">
        <v>1084</v>
      </c>
      <c r="M102" s="23">
        <v>69.680000000000007</v>
      </c>
      <c r="N102" s="23">
        <v>19.623803112752881</v>
      </c>
      <c r="O102" s="24">
        <v>8820816.666666666</v>
      </c>
      <c r="P102" s="23">
        <v>61.949139898193643</v>
      </c>
      <c r="Q102" s="14">
        <v>0</v>
      </c>
    </row>
    <row r="103" spans="1:17" ht="19.05" customHeight="1">
      <c r="A103" s="3" t="s">
        <v>68</v>
      </c>
      <c r="B103" s="16">
        <v>2023</v>
      </c>
      <c r="C103" s="17">
        <v>1619040</v>
      </c>
      <c r="D103" s="17"/>
      <c r="E103" s="18">
        <v>8.9600000000000009</v>
      </c>
      <c r="F103" s="18">
        <v>16.98</v>
      </c>
      <c r="G103" s="18">
        <v>83.4</v>
      </c>
      <c r="H103" s="18">
        <v>96.9</v>
      </c>
      <c r="I103" s="18"/>
      <c r="J103" s="18">
        <v>5.48</v>
      </c>
      <c r="K103" s="19">
        <v>113682.7</v>
      </c>
      <c r="L103" s="17">
        <v>1084</v>
      </c>
      <c r="M103" s="18">
        <v>70.290000000000006</v>
      </c>
      <c r="N103" s="18">
        <v>19.49514824979196</v>
      </c>
      <c r="O103" s="19">
        <v>9473558.333333334</v>
      </c>
      <c r="P103" s="18">
        <v>62.13376073067321</v>
      </c>
      <c r="Q103" s="14">
        <v>0</v>
      </c>
    </row>
    <row r="104" spans="1:17" ht="19.05" customHeight="1">
      <c r="A104" s="20" t="s">
        <v>68</v>
      </c>
      <c r="B104" s="21">
        <v>2024</v>
      </c>
      <c r="C104" s="22">
        <v>1619040</v>
      </c>
      <c r="D104" s="22"/>
      <c r="E104" s="23">
        <v>8.9600000000000009</v>
      </c>
      <c r="F104" s="23">
        <v>16.239999999999998</v>
      </c>
      <c r="G104" s="23">
        <v>83.4</v>
      </c>
      <c r="H104" s="23">
        <v>96.9</v>
      </c>
      <c r="I104" s="23"/>
      <c r="J104" s="23">
        <v>5.0199999999999996</v>
      </c>
      <c r="K104" s="24">
        <v>121689.1</v>
      </c>
      <c r="L104" s="22">
        <v>1084</v>
      </c>
      <c r="M104" s="23">
        <v>72.36</v>
      </c>
      <c r="N104" s="23">
        <v>19.377653034503339</v>
      </c>
      <c r="O104" s="24">
        <v>10140758.33333333</v>
      </c>
      <c r="P104" s="23">
        <v>62.907532169770768</v>
      </c>
      <c r="Q104" s="14">
        <v>0</v>
      </c>
    </row>
    <row r="105" spans="1:17" ht="19.05" customHeight="1">
      <c r="A105" s="3" t="s">
        <v>69</v>
      </c>
      <c r="B105" s="16">
        <v>2020</v>
      </c>
      <c r="C105" s="17">
        <v>949300</v>
      </c>
      <c r="D105" s="17"/>
      <c r="E105" s="18">
        <v>10.26</v>
      </c>
      <c r="F105" s="18">
        <v>24.69</v>
      </c>
      <c r="G105" s="18">
        <v>84.97</v>
      </c>
      <c r="H105" s="18">
        <v>91.15</v>
      </c>
      <c r="I105" s="18"/>
      <c r="J105" s="18">
        <v>4.45</v>
      </c>
      <c r="K105" s="19">
        <v>21653.599999999999</v>
      </c>
      <c r="L105" s="17">
        <v>727</v>
      </c>
      <c r="M105" s="18">
        <v>70.81</v>
      </c>
      <c r="N105" s="18">
        <v>13.16558438598611</v>
      </c>
      <c r="O105" s="19">
        <v>1804466.666666667</v>
      </c>
      <c r="P105" s="18">
        <v>59.891423562762817</v>
      </c>
      <c r="Q105" s="13">
        <v>1</v>
      </c>
    </row>
    <row r="106" spans="1:17" ht="19.05" customHeight="1">
      <c r="A106" s="20" t="s">
        <v>69</v>
      </c>
      <c r="B106" s="21">
        <v>2021</v>
      </c>
      <c r="C106" s="22">
        <v>956775</v>
      </c>
      <c r="D106" s="22">
        <v>89.94</v>
      </c>
      <c r="E106" s="23">
        <v>10.26</v>
      </c>
      <c r="F106" s="23">
        <v>25.01</v>
      </c>
      <c r="G106" s="23">
        <v>87.49</v>
      </c>
      <c r="H106" s="23">
        <v>96.3</v>
      </c>
      <c r="I106" s="23"/>
      <c r="J106" s="23">
        <v>4.38</v>
      </c>
      <c r="K106" s="24">
        <v>22432.1</v>
      </c>
      <c r="L106" s="22">
        <v>703.5</v>
      </c>
      <c r="M106" s="23">
        <v>71.06</v>
      </c>
      <c r="N106" s="23">
        <v>14.408127683901</v>
      </c>
      <c r="O106" s="24">
        <v>1869341.666666667</v>
      </c>
      <c r="P106" s="23">
        <v>61.320905084877388</v>
      </c>
      <c r="Q106" s="13">
        <v>1</v>
      </c>
    </row>
    <row r="107" spans="1:17" ht="19.05" customHeight="1">
      <c r="A107" s="3" t="s">
        <v>69</v>
      </c>
      <c r="B107" s="16">
        <v>2022</v>
      </c>
      <c r="C107" s="17">
        <v>964250</v>
      </c>
      <c r="D107" s="17">
        <v>81.8</v>
      </c>
      <c r="E107" s="18">
        <v>9.32</v>
      </c>
      <c r="F107" s="18">
        <v>78.180000000000007</v>
      </c>
      <c r="G107" s="18">
        <v>86.77</v>
      </c>
      <c r="H107" s="18">
        <v>91.5</v>
      </c>
      <c r="I107" s="18"/>
      <c r="J107" s="18">
        <v>5.51</v>
      </c>
      <c r="K107" s="19">
        <v>24094.3</v>
      </c>
      <c r="L107" s="17">
        <v>680</v>
      </c>
      <c r="M107" s="18">
        <v>71.87</v>
      </c>
      <c r="N107" s="18">
        <v>14.63958038042694</v>
      </c>
      <c r="O107" s="19">
        <v>2007858.333333333</v>
      </c>
      <c r="P107" s="18">
        <v>61.535729406350903</v>
      </c>
      <c r="Q107" s="14">
        <v>0</v>
      </c>
    </row>
    <row r="108" spans="1:17" ht="19.05" customHeight="1">
      <c r="A108" s="20" t="s">
        <v>69</v>
      </c>
      <c r="B108" s="21">
        <v>2023</v>
      </c>
      <c r="C108" s="22">
        <v>964250</v>
      </c>
      <c r="D108" s="22"/>
      <c r="E108" s="23">
        <v>9.32</v>
      </c>
      <c r="F108" s="23">
        <v>19.04</v>
      </c>
      <c r="G108" s="23">
        <v>86.77</v>
      </c>
      <c r="H108" s="23">
        <v>91.5</v>
      </c>
      <c r="I108" s="23"/>
      <c r="J108" s="23">
        <v>4.66</v>
      </c>
      <c r="K108" s="24">
        <v>26313.9</v>
      </c>
      <c r="L108" s="22">
        <v>680</v>
      </c>
      <c r="M108" s="23">
        <v>72.5</v>
      </c>
      <c r="N108" s="23">
        <v>14.308410123888599</v>
      </c>
      <c r="O108" s="24">
        <v>2192825</v>
      </c>
      <c r="P108" s="23">
        <v>61.634881595640891</v>
      </c>
      <c r="Q108" s="14">
        <v>0</v>
      </c>
    </row>
    <row r="109" spans="1:17" ht="19.05" customHeight="1">
      <c r="A109" s="3" t="s">
        <v>69</v>
      </c>
      <c r="B109" s="16">
        <v>2024</v>
      </c>
      <c r="C109" s="17">
        <v>964250</v>
      </c>
      <c r="D109" s="17"/>
      <c r="E109" s="18">
        <v>9.32</v>
      </c>
      <c r="F109" s="18">
        <v>20.8</v>
      </c>
      <c r="G109" s="18">
        <v>86.77</v>
      </c>
      <c r="H109" s="18">
        <v>91.5</v>
      </c>
      <c r="I109" s="18"/>
      <c r="J109" s="18">
        <v>4.1900000000000004</v>
      </c>
      <c r="K109" s="19">
        <v>28088</v>
      </c>
      <c r="L109" s="17">
        <v>680</v>
      </c>
      <c r="M109" s="18">
        <v>73.7</v>
      </c>
      <c r="N109" s="18">
        <v>15.240712798425641</v>
      </c>
      <c r="O109" s="19">
        <v>2340666.666666667</v>
      </c>
      <c r="P109" s="18">
        <v>62.545175137734923</v>
      </c>
      <c r="Q109" s="14">
        <v>0</v>
      </c>
    </row>
    <row r="110" spans="1:17" ht="19.05" customHeight="1">
      <c r="A110" s="20" t="s">
        <v>70</v>
      </c>
      <c r="B110" s="21">
        <v>2020</v>
      </c>
      <c r="C110" s="22">
        <v>1152500</v>
      </c>
      <c r="D110" s="22"/>
      <c r="E110" s="23">
        <v>18.91</v>
      </c>
      <c r="F110" s="23">
        <v>15.12</v>
      </c>
      <c r="G110" s="23">
        <v>59.76</v>
      </c>
      <c r="H110" s="23">
        <v>92.16</v>
      </c>
      <c r="I110" s="23"/>
      <c r="J110" s="23">
        <v>4.8600000000000003</v>
      </c>
      <c r="K110" s="24">
        <v>29280.1</v>
      </c>
      <c r="L110" s="22">
        <v>679</v>
      </c>
      <c r="M110" s="23">
        <v>66.069999999999993</v>
      </c>
      <c r="N110" s="23">
        <v>16.021264839672789</v>
      </c>
      <c r="O110" s="24">
        <v>2440008.333333333</v>
      </c>
      <c r="P110" s="23">
        <v>51.750429926002823</v>
      </c>
      <c r="Q110" s="13">
        <v>1</v>
      </c>
    </row>
    <row r="111" spans="1:17" ht="19.05" customHeight="1">
      <c r="A111" s="3" t="s">
        <v>70</v>
      </c>
      <c r="B111" s="16">
        <v>2021</v>
      </c>
      <c r="C111" s="17">
        <v>1156235</v>
      </c>
      <c r="D111" s="17">
        <v>223.32</v>
      </c>
      <c r="E111" s="18">
        <v>18.91</v>
      </c>
      <c r="F111" s="18">
        <v>15.31</v>
      </c>
      <c r="G111" s="18">
        <v>62.14</v>
      </c>
      <c r="H111" s="18">
        <v>93.18</v>
      </c>
      <c r="I111" s="18"/>
      <c r="J111" s="18">
        <v>4.55</v>
      </c>
      <c r="K111" s="19">
        <v>30708.3</v>
      </c>
      <c r="L111" s="17">
        <v>676</v>
      </c>
      <c r="M111" s="18">
        <v>66.260000000000005</v>
      </c>
      <c r="N111" s="18">
        <v>17.91357541105733</v>
      </c>
      <c r="O111" s="19">
        <v>2559025</v>
      </c>
      <c r="P111" s="18">
        <v>53.413804035872623</v>
      </c>
      <c r="Q111" s="13">
        <v>1</v>
      </c>
    </row>
    <row r="112" spans="1:17" ht="19.05" customHeight="1">
      <c r="A112" s="20" t="s">
        <v>70</v>
      </c>
      <c r="B112" s="21">
        <v>2022</v>
      </c>
      <c r="C112" s="22">
        <v>1159970</v>
      </c>
      <c r="D112" s="22">
        <v>203.23</v>
      </c>
      <c r="E112" s="23">
        <v>17.12</v>
      </c>
      <c r="F112" s="23">
        <v>63.56</v>
      </c>
      <c r="G112" s="23">
        <v>62.36</v>
      </c>
      <c r="H112" s="23">
        <v>95.92</v>
      </c>
      <c r="I112" s="23"/>
      <c r="J112" s="23">
        <v>3.25</v>
      </c>
      <c r="K112" s="24">
        <v>33323.4</v>
      </c>
      <c r="L112" s="22">
        <v>673</v>
      </c>
      <c r="M112" s="23">
        <v>66.959999999999994</v>
      </c>
      <c r="N112" s="23">
        <v>16.058625600700118</v>
      </c>
      <c r="O112" s="24">
        <v>2776950</v>
      </c>
      <c r="P112" s="23">
        <v>52.903673354169293</v>
      </c>
      <c r="Q112" s="13">
        <v>1</v>
      </c>
    </row>
    <row r="113" spans="1:17" ht="19.05" customHeight="1">
      <c r="A113" s="3" t="s">
        <v>70</v>
      </c>
      <c r="B113" s="16">
        <v>2023</v>
      </c>
      <c r="C113" s="17">
        <v>1159970</v>
      </c>
      <c r="D113" s="17"/>
      <c r="E113" s="18">
        <v>17.12</v>
      </c>
      <c r="F113" s="18">
        <v>17.760000000000002</v>
      </c>
      <c r="G113" s="18">
        <v>62.36</v>
      </c>
      <c r="H113" s="18">
        <v>95.92</v>
      </c>
      <c r="I113" s="18"/>
      <c r="J113" s="18">
        <v>3.24</v>
      </c>
      <c r="K113" s="19">
        <v>36006.199999999997</v>
      </c>
      <c r="L113" s="17">
        <v>673</v>
      </c>
      <c r="M113" s="18">
        <v>67.790000000000006</v>
      </c>
      <c r="N113" s="18">
        <v>16.3517709265208</v>
      </c>
      <c r="O113" s="19">
        <v>3000516.666666667</v>
      </c>
      <c r="P113" s="18">
        <v>53.370971196855749</v>
      </c>
      <c r="Q113" s="13">
        <v>1</v>
      </c>
    </row>
    <row r="114" spans="1:17" ht="19.05" customHeight="1">
      <c r="A114" s="20" t="s">
        <v>70</v>
      </c>
      <c r="B114" s="21">
        <v>2024</v>
      </c>
      <c r="C114" s="22">
        <v>1159970</v>
      </c>
      <c r="D114" s="22"/>
      <c r="E114" s="23">
        <v>17.12</v>
      </c>
      <c r="F114" s="23">
        <v>18.43</v>
      </c>
      <c r="G114" s="23">
        <v>62.36</v>
      </c>
      <c r="H114" s="23">
        <v>95.92</v>
      </c>
      <c r="I114" s="23"/>
      <c r="J114" s="23">
        <v>3</v>
      </c>
      <c r="K114" s="24">
        <v>38536.6</v>
      </c>
      <c r="L114" s="22">
        <v>673</v>
      </c>
      <c r="M114" s="23">
        <v>70.849999999999994</v>
      </c>
      <c r="N114" s="23">
        <v>16.12316859176828</v>
      </c>
      <c r="O114" s="24">
        <v>3211383.333333333</v>
      </c>
      <c r="P114" s="23">
        <v>54.489462426969979</v>
      </c>
      <c r="Q114" s="13">
        <v>1</v>
      </c>
    </row>
    <row r="115" spans="1:17" ht="19.05" customHeight="1">
      <c r="A115" s="3" t="s">
        <v>71</v>
      </c>
      <c r="B115" s="16">
        <v>2020</v>
      </c>
      <c r="C115" s="17">
        <v>969700</v>
      </c>
      <c r="D115" s="17"/>
      <c r="E115" s="18">
        <v>23.76</v>
      </c>
      <c r="F115" s="18">
        <v>18.28</v>
      </c>
      <c r="G115" s="18">
        <v>81.849999999999994</v>
      </c>
      <c r="H115" s="18">
        <v>89.89</v>
      </c>
      <c r="I115" s="18"/>
      <c r="J115" s="18">
        <v>3.35</v>
      </c>
      <c r="K115" s="19">
        <v>20503</v>
      </c>
      <c r="L115" s="17">
        <v>786</v>
      </c>
      <c r="M115" s="18">
        <v>62.7</v>
      </c>
      <c r="N115" s="18">
        <v>12.518638932263819</v>
      </c>
      <c r="O115" s="19">
        <v>1708583.333333333</v>
      </c>
      <c r="P115" s="18">
        <v>55.412833353352532</v>
      </c>
      <c r="Q115" s="13">
        <v>1</v>
      </c>
    </row>
    <row r="116" spans="1:17" ht="19.05" customHeight="1">
      <c r="A116" s="20" t="s">
        <v>71</v>
      </c>
      <c r="B116" s="21">
        <v>2021</v>
      </c>
      <c r="C116" s="22">
        <v>976930</v>
      </c>
      <c r="D116" s="22">
        <v>237.23</v>
      </c>
      <c r="E116" s="23">
        <v>23.76</v>
      </c>
      <c r="F116" s="23">
        <v>17.71</v>
      </c>
      <c r="G116" s="23">
        <v>76.22</v>
      </c>
      <c r="H116" s="23">
        <v>89.34</v>
      </c>
      <c r="I116" s="23"/>
      <c r="J116" s="23">
        <v>3.45</v>
      </c>
      <c r="K116" s="24">
        <v>21064.1</v>
      </c>
      <c r="L116" s="22">
        <v>793.5</v>
      </c>
      <c r="M116" s="23">
        <v>62.8</v>
      </c>
      <c r="N116" s="23">
        <v>14.868241218923851</v>
      </c>
      <c r="O116" s="24">
        <v>1755341.666666667</v>
      </c>
      <c r="P116" s="23">
        <v>54.848265177964848</v>
      </c>
      <c r="Q116" s="13">
        <v>1</v>
      </c>
    </row>
    <row r="117" spans="1:17" ht="19.05" customHeight="1">
      <c r="A117" s="3" t="s">
        <v>71</v>
      </c>
      <c r="B117" s="16">
        <v>2022</v>
      </c>
      <c r="C117" s="17">
        <v>984160</v>
      </c>
      <c r="D117" s="17">
        <v>217.97</v>
      </c>
      <c r="E117" s="18">
        <v>21.61</v>
      </c>
      <c r="F117" s="18">
        <v>55.75</v>
      </c>
      <c r="G117" s="18">
        <v>79.33</v>
      </c>
      <c r="H117" s="18">
        <v>93.25</v>
      </c>
      <c r="I117" s="18"/>
      <c r="J117" s="18">
        <v>3.11</v>
      </c>
      <c r="K117" s="19">
        <v>23186.1</v>
      </c>
      <c r="L117" s="17">
        <v>801</v>
      </c>
      <c r="M117" s="18">
        <v>63.39</v>
      </c>
      <c r="N117" s="18">
        <v>15.223579988832549</v>
      </c>
      <c r="O117" s="19">
        <v>1932175</v>
      </c>
      <c r="P117" s="18">
        <v>56.181267687153493</v>
      </c>
      <c r="Q117" s="13">
        <v>1</v>
      </c>
    </row>
    <row r="118" spans="1:17" ht="19.05" customHeight="1">
      <c r="A118" s="20" t="s">
        <v>71</v>
      </c>
      <c r="B118" s="21">
        <v>2023</v>
      </c>
      <c r="C118" s="22">
        <v>984160</v>
      </c>
      <c r="D118" s="22"/>
      <c r="E118" s="23">
        <v>21.61</v>
      </c>
      <c r="F118" s="23">
        <v>15.64</v>
      </c>
      <c r="G118" s="23">
        <v>79.33</v>
      </c>
      <c r="H118" s="23">
        <v>93.25</v>
      </c>
      <c r="I118" s="23"/>
      <c r="J118" s="23">
        <v>2.72</v>
      </c>
      <c r="K118" s="24">
        <v>23978.2</v>
      </c>
      <c r="L118" s="22">
        <v>801</v>
      </c>
      <c r="M118" s="23">
        <v>64.13</v>
      </c>
      <c r="N118" s="23">
        <v>18.19117457949449</v>
      </c>
      <c r="O118" s="24">
        <v>1998183.333333333</v>
      </c>
      <c r="P118" s="23">
        <v>57.84692672899746</v>
      </c>
      <c r="Q118" s="13">
        <v>1</v>
      </c>
    </row>
    <row r="119" spans="1:17" ht="19.05" customHeight="1">
      <c r="A119" s="3" t="s">
        <v>71</v>
      </c>
      <c r="B119" s="16">
        <v>2024</v>
      </c>
      <c r="C119" s="17">
        <v>984160</v>
      </c>
      <c r="D119" s="17"/>
      <c r="E119" s="18">
        <v>21.61</v>
      </c>
      <c r="F119" s="18">
        <v>13.73</v>
      </c>
      <c r="G119" s="18">
        <v>79.33</v>
      </c>
      <c r="H119" s="18">
        <v>93.25</v>
      </c>
      <c r="I119" s="18"/>
      <c r="J119" s="18">
        <v>2.5</v>
      </c>
      <c r="K119" s="19">
        <v>24483.8</v>
      </c>
      <c r="L119" s="17">
        <v>801</v>
      </c>
      <c r="M119" s="18">
        <v>66.72</v>
      </c>
      <c r="N119" s="18">
        <v>15.05661736208892</v>
      </c>
      <c r="O119" s="19">
        <v>2040316.666666667</v>
      </c>
      <c r="P119" s="18">
        <v>57.436208013271809</v>
      </c>
      <c r="Q119" s="13">
        <v>1</v>
      </c>
    </row>
    <row r="120" spans="1:17" ht="19.05" customHeight="1">
      <c r="A120" s="20" t="s">
        <v>72</v>
      </c>
      <c r="B120" s="21">
        <v>2020</v>
      </c>
      <c r="C120" s="22">
        <v>2082800</v>
      </c>
      <c r="D120" s="22"/>
      <c r="E120" s="23">
        <v>5.93</v>
      </c>
      <c r="F120" s="23">
        <v>40.99</v>
      </c>
      <c r="G120" s="23">
        <v>95.52</v>
      </c>
      <c r="H120" s="23">
        <v>99.06</v>
      </c>
      <c r="I120" s="23"/>
      <c r="J120" s="23">
        <v>10.97</v>
      </c>
      <c r="K120" s="24">
        <v>94817.600000000006</v>
      </c>
      <c r="L120" s="22">
        <v>3283</v>
      </c>
      <c r="M120" s="23">
        <v>80.290000000000006</v>
      </c>
      <c r="N120" s="23">
        <v>20.726948124352202</v>
      </c>
      <c r="O120" s="24">
        <v>7901466.666666667</v>
      </c>
      <c r="P120" s="23">
        <v>70.33828374970102</v>
      </c>
      <c r="Q120" s="14">
        <v>0</v>
      </c>
    </row>
    <row r="121" spans="1:17" ht="19.05" customHeight="1">
      <c r="A121" s="3" t="s">
        <v>72</v>
      </c>
      <c r="B121" s="16">
        <v>2021</v>
      </c>
      <c r="C121" s="17">
        <v>2093100</v>
      </c>
      <c r="D121" s="17">
        <v>137.15</v>
      </c>
      <c r="E121" s="18">
        <v>5.93</v>
      </c>
      <c r="F121" s="18">
        <v>41.61</v>
      </c>
      <c r="G121" s="18">
        <v>95.05</v>
      </c>
      <c r="H121" s="18">
        <v>96.82</v>
      </c>
      <c r="I121" s="18"/>
      <c r="J121" s="18">
        <v>10.87</v>
      </c>
      <c r="K121" s="19">
        <v>100251.9</v>
      </c>
      <c r="L121" s="17">
        <v>3094</v>
      </c>
      <c r="M121" s="18">
        <v>80.650000000000006</v>
      </c>
      <c r="N121" s="18">
        <v>20.3916131577325</v>
      </c>
      <c r="O121" s="19">
        <v>8354325</v>
      </c>
      <c r="P121" s="18">
        <v>70.186513765107307</v>
      </c>
      <c r="Q121" s="14">
        <v>0</v>
      </c>
    </row>
    <row r="122" spans="1:17" ht="19.05" customHeight="1">
      <c r="A122" s="20" t="s">
        <v>72</v>
      </c>
      <c r="B122" s="21">
        <v>2022</v>
      </c>
      <c r="C122" s="22">
        <v>2103400</v>
      </c>
      <c r="D122" s="22">
        <v>125.69</v>
      </c>
      <c r="E122" s="23">
        <v>5.36</v>
      </c>
      <c r="F122" s="23">
        <v>83.2</v>
      </c>
      <c r="G122" s="23">
        <v>89.54</v>
      </c>
      <c r="H122" s="23">
        <v>95.86</v>
      </c>
      <c r="I122" s="23"/>
      <c r="J122" s="23">
        <v>8.8000000000000007</v>
      </c>
      <c r="K122" s="24">
        <v>115389.3</v>
      </c>
      <c r="L122" s="22">
        <v>2905</v>
      </c>
      <c r="M122" s="23">
        <v>81.02</v>
      </c>
      <c r="N122" s="23">
        <v>19.30678002746664</v>
      </c>
      <c r="O122" s="24">
        <v>9615775</v>
      </c>
      <c r="P122" s="23">
        <v>68.18082155113845</v>
      </c>
      <c r="Q122" s="14">
        <v>0</v>
      </c>
    </row>
    <row r="123" spans="1:17" ht="19.05" customHeight="1">
      <c r="A123" s="3" t="s">
        <v>72</v>
      </c>
      <c r="B123" s="16">
        <v>2023</v>
      </c>
      <c r="C123" s="17">
        <v>2103400</v>
      </c>
      <c r="D123" s="17"/>
      <c r="E123" s="18">
        <v>5.36</v>
      </c>
      <c r="F123" s="18">
        <v>37.67</v>
      </c>
      <c r="G123" s="18">
        <v>89.54</v>
      </c>
      <c r="H123" s="18">
        <v>95.86</v>
      </c>
      <c r="I123" s="18"/>
      <c r="J123" s="18">
        <v>8.0500000000000007</v>
      </c>
      <c r="K123" s="19">
        <v>127381.7</v>
      </c>
      <c r="L123" s="17">
        <v>2905</v>
      </c>
      <c r="M123" s="18">
        <v>81.55</v>
      </c>
      <c r="N123" s="18">
        <v>22.327772204887431</v>
      </c>
      <c r="O123" s="19">
        <v>10615141.66666667</v>
      </c>
      <c r="P123" s="18">
        <v>69.787125633024971</v>
      </c>
      <c r="Q123" s="14">
        <v>0</v>
      </c>
    </row>
    <row r="124" spans="1:17" ht="19.05" customHeight="1">
      <c r="A124" s="20" t="s">
        <v>72</v>
      </c>
      <c r="B124" s="21">
        <v>2024</v>
      </c>
      <c r="C124" s="22">
        <v>2103400</v>
      </c>
      <c r="D124" s="22"/>
      <c r="E124" s="23">
        <v>5.36</v>
      </c>
      <c r="F124" s="23">
        <v>38.090000000000003</v>
      </c>
      <c r="G124" s="23">
        <v>89.54</v>
      </c>
      <c r="H124" s="23">
        <v>95.86</v>
      </c>
      <c r="I124" s="23"/>
      <c r="J124" s="23">
        <v>6.49</v>
      </c>
      <c r="K124" s="24">
        <v>136721.1</v>
      </c>
      <c r="L124" s="22">
        <v>2905</v>
      </c>
      <c r="M124" s="23">
        <v>82.67</v>
      </c>
      <c r="N124" s="23">
        <v>22.035591950861921</v>
      </c>
      <c r="O124" s="24">
        <v>11393425</v>
      </c>
      <c r="P124" s="23">
        <v>70.10027320809013</v>
      </c>
      <c r="Q124" s="14">
        <v>0</v>
      </c>
    </row>
    <row r="125" spans="1:17" ht="19.05" customHeight="1">
      <c r="A125" s="3" t="s">
        <v>73</v>
      </c>
      <c r="B125" s="16">
        <v>2020</v>
      </c>
      <c r="C125" s="17">
        <v>686000</v>
      </c>
      <c r="D125" s="17"/>
      <c r="E125" s="18">
        <v>12.63</v>
      </c>
      <c r="F125" s="18">
        <v>15.14</v>
      </c>
      <c r="G125" s="18">
        <v>55.29</v>
      </c>
      <c r="H125" s="18">
        <v>96.18</v>
      </c>
      <c r="I125" s="18"/>
      <c r="J125" s="18">
        <v>3.85</v>
      </c>
      <c r="K125" s="19">
        <v>29244.2</v>
      </c>
      <c r="L125" s="17">
        <v>411</v>
      </c>
      <c r="M125" s="18">
        <v>67.38</v>
      </c>
      <c r="N125" s="18">
        <v>15.88014154984597</v>
      </c>
      <c r="O125" s="19">
        <v>2437016.666666667</v>
      </c>
      <c r="P125" s="18">
        <v>50.868296099928912</v>
      </c>
      <c r="Q125" s="13">
        <v>1</v>
      </c>
    </row>
    <row r="126" spans="1:17" ht="19.05" customHeight="1">
      <c r="A126" s="20" t="s">
        <v>73</v>
      </c>
      <c r="B126" s="21">
        <v>2021</v>
      </c>
      <c r="C126" s="22">
        <v>688630</v>
      </c>
      <c r="D126" s="22">
        <v>86.95</v>
      </c>
      <c r="E126" s="23">
        <v>12.63</v>
      </c>
      <c r="F126" s="23">
        <v>16.190000000000001</v>
      </c>
      <c r="G126" s="23">
        <v>59.79</v>
      </c>
      <c r="H126" s="23">
        <v>98.88</v>
      </c>
      <c r="I126" s="23"/>
      <c r="J126" s="23">
        <v>3.68</v>
      </c>
      <c r="K126" s="24">
        <v>30765.4</v>
      </c>
      <c r="L126" s="22">
        <v>414.5</v>
      </c>
      <c r="M126" s="23">
        <v>67.78</v>
      </c>
      <c r="N126" s="23">
        <v>13.97658752593126</v>
      </c>
      <c r="O126" s="24">
        <v>2563783.333333333</v>
      </c>
      <c r="P126" s="23">
        <v>51.499732704275971</v>
      </c>
      <c r="Q126" s="13">
        <v>1</v>
      </c>
    </row>
    <row r="127" spans="1:17" ht="19.05" customHeight="1">
      <c r="A127" s="3" t="s">
        <v>73</v>
      </c>
      <c r="B127" s="16">
        <v>2022</v>
      </c>
      <c r="C127" s="17">
        <v>691260</v>
      </c>
      <c r="D127" s="17">
        <v>81.459999999999994</v>
      </c>
      <c r="E127" s="18">
        <v>11.78</v>
      </c>
      <c r="F127" s="18">
        <v>61.12</v>
      </c>
      <c r="G127" s="18">
        <v>54.52</v>
      </c>
      <c r="H127" s="18">
        <v>99.22</v>
      </c>
      <c r="I127" s="18"/>
      <c r="J127" s="18">
        <v>3.38</v>
      </c>
      <c r="K127" s="19">
        <v>33367.5</v>
      </c>
      <c r="L127" s="17">
        <v>418</v>
      </c>
      <c r="M127" s="18">
        <v>68.25</v>
      </c>
      <c r="N127" s="18">
        <v>16.9642750205238</v>
      </c>
      <c r="O127" s="19">
        <v>2780625</v>
      </c>
      <c r="P127" s="18">
        <v>51.48566539408791</v>
      </c>
      <c r="Q127" s="13">
        <v>1</v>
      </c>
    </row>
    <row r="128" spans="1:17" ht="19.05" customHeight="1">
      <c r="A128" s="20" t="s">
        <v>73</v>
      </c>
      <c r="B128" s="21">
        <v>2023</v>
      </c>
      <c r="C128" s="22">
        <v>691260</v>
      </c>
      <c r="D128" s="22"/>
      <c r="E128" s="23">
        <v>11.78</v>
      </c>
      <c r="F128" s="23">
        <v>12.49</v>
      </c>
      <c r="G128" s="23">
        <v>54.52</v>
      </c>
      <c r="H128" s="23">
        <v>99.22</v>
      </c>
      <c r="I128" s="23"/>
      <c r="J128" s="23">
        <v>3.27</v>
      </c>
      <c r="K128" s="24">
        <v>36189.599999999999</v>
      </c>
      <c r="L128" s="22">
        <v>418</v>
      </c>
      <c r="M128" s="23">
        <v>69.16</v>
      </c>
      <c r="N128" s="23">
        <v>13.801674102978209</v>
      </c>
      <c r="O128" s="24">
        <v>3015800</v>
      </c>
      <c r="P128" s="23">
        <v>50.390003432143793</v>
      </c>
      <c r="Q128" s="13">
        <v>1</v>
      </c>
    </row>
    <row r="129" spans="1:17" ht="19.05" customHeight="1">
      <c r="A129" s="3" t="s">
        <v>73</v>
      </c>
      <c r="B129" s="16">
        <v>2024</v>
      </c>
      <c r="C129" s="17">
        <v>691260</v>
      </c>
      <c r="D129" s="17"/>
      <c r="E129" s="18">
        <v>11.78</v>
      </c>
      <c r="F129" s="18">
        <v>11.28</v>
      </c>
      <c r="G129" s="18">
        <v>54.52</v>
      </c>
      <c r="H129" s="18">
        <v>99.22</v>
      </c>
      <c r="I129" s="18"/>
      <c r="J129" s="18">
        <v>3.15</v>
      </c>
      <c r="K129" s="19">
        <v>38676.9</v>
      </c>
      <c r="L129" s="17">
        <v>418</v>
      </c>
      <c r="M129" s="18">
        <v>71.22</v>
      </c>
      <c r="N129" s="18">
        <v>16.35430073553454</v>
      </c>
      <c r="O129" s="19">
        <v>3223075</v>
      </c>
      <c r="P129" s="18">
        <v>52.392138801015953</v>
      </c>
      <c r="Q129" s="13">
        <v>1</v>
      </c>
    </row>
    <row r="130" spans="1:17" ht="19.05" customHeight="1">
      <c r="A130" s="20" t="s">
        <v>74</v>
      </c>
      <c r="B130" s="21">
        <v>2020</v>
      </c>
      <c r="C130" s="22">
        <v>1124400</v>
      </c>
      <c r="D130" s="22"/>
      <c r="E130" s="23">
        <v>20.51</v>
      </c>
      <c r="F130" s="23">
        <v>20.43</v>
      </c>
      <c r="G130" s="23">
        <v>64.739999999999995</v>
      </c>
      <c r="H130" s="23">
        <v>97.82</v>
      </c>
      <c r="I130" s="23"/>
      <c r="J130" s="23">
        <v>2.84</v>
      </c>
      <c r="K130" s="24">
        <v>29166.2</v>
      </c>
      <c r="L130" s="22">
        <v>563</v>
      </c>
      <c r="M130" s="23">
        <v>66.430000000000007</v>
      </c>
      <c r="N130" s="23">
        <v>17.93039676361359</v>
      </c>
      <c r="O130" s="24">
        <v>2430516.666666667</v>
      </c>
      <c r="P130" s="23">
        <v>54.269567737052427</v>
      </c>
      <c r="Q130" s="13">
        <v>1</v>
      </c>
    </row>
    <row r="131" spans="1:17" ht="19.05" customHeight="1">
      <c r="A131" s="3" t="s">
        <v>74</v>
      </c>
      <c r="B131" s="16">
        <v>2021</v>
      </c>
      <c r="C131" s="17">
        <v>1130515</v>
      </c>
      <c r="D131" s="17">
        <v>224.73</v>
      </c>
      <c r="E131" s="18">
        <v>20.51</v>
      </c>
      <c r="F131" s="18">
        <v>20.87</v>
      </c>
      <c r="G131" s="18">
        <v>65.66</v>
      </c>
      <c r="H131" s="18">
        <v>98.29</v>
      </c>
      <c r="I131" s="18"/>
      <c r="J131" s="18">
        <v>2.31</v>
      </c>
      <c r="K131" s="19">
        <v>31177.3</v>
      </c>
      <c r="L131" s="17">
        <v>554</v>
      </c>
      <c r="M131" s="18">
        <v>67.040000000000006</v>
      </c>
      <c r="N131" s="18">
        <v>14.26056789616942</v>
      </c>
      <c r="O131" s="19">
        <v>2598108.333333333</v>
      </c>
      <c r="P131" s="18">
        <v>53.095800567462803</v>
      </c>
      <c r="Q131" s="13">
        <v>1</v>
      </c>
    </row>
    <row r="132" spans="1:17" ht="19.05" customHeight="1">
      <c r="A132" s="20" t="s">
        <v>74</v>
      </c>
      <c r="B132" s="21">
        <v>2022</v>
      </c>
      <c r="C132" s="22">
        <v>1136630</v>
      </c>
      <c r="D132" s="22">
        <v>206.2</v>
      </c>
      <c r="E132" s="23">
        <v>18.760000000000002</v>
      </c>
      <c r="F132" s="23">
        <v>78.650000000000006</v>
      </c>
      <c r="G132" s="23">
        <v>67.680000000000007</v>
      </c>
      <c r="H132" s="23">
        <v>94.6</v>
      </c>
      <c r="I132" s="23"/>
      <c r="J132" s="23">
        <v>1.36</v>
      </c>
      <c r="K132" s="24">
        <v>35324.199999999997</v>
      </c>
      <c r="L132" s="22">
        <v>545</v>
      </c>
      <c r="M132" s="23">
        <v>67.87</v>
      </c>
      <c r="N132" s="23">
        <v>15.062194579186601</v>
      </c>
      <c r="O132" s="24">
        <v>2943683.333333333</v>
      </c>
      <c r="P132" s="23">
        <v>54.40378211347074</v>
      </c>
      <c r="Q132" s="13">
        <v>1</v>
      </c>
    </row>
    <row r="133" spans="1:17" ht="19.05" customHeight="1">
      <c r="A133" s="3" t="s">
        <v>74</v>
      </c>
      <c r="B133" s="16">
        <v>2023</v>
      </c>
      <c r="C133" s="17">
        <v>1136630</v>
      </c>
      <c r="D133" s="17"/>
      <c r="E133" s="18">
        <v>18.760000000000002</v>
      </c>
      <c r="F133" s="18">
        <v>17.489999999999998</v>
      </c>
      <c r="G133" s="18">
        <v>67.680000000000007</v>
      </c>
      <c r="H133" s="18">
        <v>94.6</v>
      </c>
      <c r="I133" s="18"/>
      <c r="J133" s="18">
        <v>1.71</v>
      </c>
      <c r="K133" s="19">
        <v>37473.5</v>
      </c>
      <c r="L133" s="17">
        <v>545</v>
      </c>
      <c r="M133" s="18">
        <v>68.61</v>
      </c>
      <c r="N133" s="18">
        <v>16.008997830414199</v>
      </c>
      <c r="O133" s="19">
        <v>3122791.666666667</v>
      </c>
      <c r="P133" s="18">
        <v>55.136768229421939</v>
      </c>
      <c r="Q133" s="13">
        <v>1</v>
      </c>
    </row>
    <row r="134" spans="1:17" ht="19.05" customHeight="1">
      <c r="A134" s="20" t="s">
        <v>74</v>
      </c>
      <c r="B134" s="21">
        <v>2024</v>
      </c>
      <c r="C134" s="22">
        <v>1136630</v>
      </c>
      <c r="D134" s="22"/>
      <c r="E134" s="23">
        <v>18.760000000000002</v>
      </c>
      <c r="F134" s="23">
        <v>18.5</v>
      </c>
      <c r="G134" s="23">
        <v>67.680000000000007</v>
      </c>
      <c r="H134" s="23">
        <v>94.6</v>
      </c>
      <c r="I134" s="23"/>
      <c r="J134" s="23">
        <v>1.69</v>
      </c>
      <c r="K134" s="24">
        <v>39215</v>
      </c>
      <c r="L134" s="22">
        <v>545</v>
      </c>
      <c r="M134" s="23">
        <v>69.78</v>
      </c>
      <c r="N134" s="23">
        <v>15.398808682773369</v>
      </c>
      <c r="O134" s="24">
        <v>3267916.666666667</v>
      </c>
      <c r="P134" s="23">
        <v>55.323142468972343</v>
      </c>
      <c r="Q134" s="13">
        <v>1</v>
      </c>
    </row>
    <row r="135" spans="1:17" ht="19.05" customHeight="1">
      <c r="A135" s="3" t="s">
        <v>75</v>
      </c>
      <c r="B135" s="16">
        <v>2020</v>
      </c>
      <c r="C135" s="17">
        <v>731100</v>
      </c>
      <c r="D135" s="17"/>
      <c r="E135" s="18">
        <v>12.14</v>
      </c>
      <c r="F135" s="18">
        <v>13.86</v>
      </c>
      <c r="G135" s="18">
        <v>76.81</v>
      </c>
      <c r="H135" s="18">
        <v>80.64</v>
      </c>
      <c r="I135" s="18"/>
      <c r="J135" s="18">
        <v>4.1100000000000003</v>
      </c>
      <c r="K135" s="19">
        <v>25087.3</v>
      </c>
      <c r="L135" s="17">
        <v>637</v>
      </c>
      <c r="M135" s="18">
        <v>69.739999999999995</v>
      </c>
      <c r="N135" s="18">
        <v>13.21262002184513</v>
      </c>
      <c r="O135" s="19">
        <v>2090608.333333333</v>
      </c>
      <c r="P135" s="18">
        <v>57.037132317774677</v>
      </c>
      <c r="Q135" s="13">
        <v>1</v>
      </c>
    </row>
    <row r="136" spans="1:17" ht="19.05" customHeight="1">
      <c r="A136" s="20" t="s">
        <v>75</v>
      </c>
      <c r="B136" s="21">
        <v>2021</v>
      </c>
      <c r="C136" s="22">
        <v>735385</v>
      </c>
      <c r="D136" s="22">
        <v>84.89</v>
      </c>
      <c r="E136" s="23">
        <v>12.14</v>
      </c>
      <c r="F136" s="23">
        <v>15.1</v>
      </c>
      <c r="G136" s="23">
        <v>75.48</v>
      </c>
      <c r="H136" s="23">
        <v>75.78</v>
      </c>
      <c r="I136" s="23"/>
      <c r="J136" s="23">
        <v>3.53</v>
      </c>
      <c r="K136" s="24">
        <v>26160</v>
      </c>
      <c r="L136" s="22">
        <v>614.5</v>
      </c>
      <c r="M136" s="23">
        <v>70.06</v>
      </c>
      <c r="N136" s="23">
        <v>15.217213298502379</v>
      </c>
      <c r="O136" s="24">
        <v>2180000</v>
      </c>
      <c r="P136" s="23">
        <v>57.691329214693411</v>
      </c>
      <c r="Q136" s="13">
        <v>1</v>
      </c>
    </row>
    <row r="137" spans="1:17" ht="19.05" customHeight="1">
      <c r="A137" s="3" t="s">
        <v>75</v>
      </c>
      <c r="B137" s="16">
        <v>2022</v>
      </c>
      <c r="C137" s="17">
        <v>739670</v>
      </c>
      <c r="D137" s="17">
        <v>76.75</v>
      </c>
      <c r="E137" s="18">
        <v>10.96</v>
      </c>
      <c r="F137" s="18">
        <v>84.99</v>
      </c>
      <c r="G137" s="18">
        <v>79.27</v>
      </c>
      <c r="H137" s="18">
        <v>81.23</v>
      </c>
      <c r="I137" s="18"/>
      <c r="J137" s="18">
        <v>5.37</v>
      </c>
      <c r="K137" s="19">
        <v>28309.5</v>
      </c>
      <c r="L137" s="17">
        <v>592</v>
      </c>
      <c r="M137" s="18">
        <v>71</v>
      </c>
      <c r="N137" s="18">
        <v>14.01282529625524</v>
      </c>
      <c r="O137" s="19">
        <v>2359125</v>
      </c>
      <c r="P137" s="18">
        <v>58.648457829040872</v>
      </c>
      <c r="Q137" s="13">
        <v>1</v>
      </c>
    </row>
    <row r="138" spans="1:17" ht="19.05" customHeight="1">
      <c r="A138" s="20" t="s">
        <v>75</v>
      </c>
      <c r="B138" s="21">
        <v>2023</v>
      </c>
      <c r="C138" s="22">
        <v>739670</v>
      </c>
      <c r="D138" s="22"/>
      <c r="E138" s="23">
        <v>10.96</v>
      </c>
      <c r="F138" s="23">
        <v>13.68</v>
      </c>
      <c r="G138" s="23">
        <v>79.27</v>
      </c>
      <c r="H138" s="23">
        <v>81.23</v>
      </c>
      <c r="I138" s="23"/>
      <c r="J138" s="23">
        <v>4.5199999999999996</v>
      </c>
      <c r="K138" s="24">
        <v>30681</v>
      </c>
      <c r="L138" s="22">
        <v>592</v>
      </c>
      <c r="M138" s="23">
        <v>71.73</v>
      </c>
      <c r="N138" s="23">
        <v>16.05701600230833</v>
      </c>
      <c r="O138" s="24">
        <v>2556750</v>
      </c>
      <c r="P138" s="23">
        <v>59.883930462603843</v>
      </c>
      <c r="Q138" s="13">
        <v>1</v>
      </c>
    </row>
    <row r="139" spans="1:17" ht="19.05" customHeight="1">
      <c r="A139" s="3" t="s">
        <v>75</v>
      </c>
      <c r="B139" s="16">
        <v>2024</v>
      </c>
      <c r="C139" s="17">
        <v>739670</v>
      </c>
      <c r="D139" s="17"/>
      <c r="E139" s="18">
        <v>10.96</v>
      </c>
      <c r="F139" s="18">
        <v>13.52</v>
      </c>
      <c r="G139" s="18">
        <v>79.27</v>
      </c>
      <c r="H139" s="18">
        <v>81.23</v>
      </c>
      <c r="I139" s="18"/>
      <c r="J139" s="18">
        <v>3.9</v>
      </c>
      <c r="K139" s="19">
        <v>32725.599999999999</v>
      </c>
      <c r="L139" s="17">
        <v>592</v>
      </c>
      <c r="M139" s="18">
        <v>72.47</v>
      </c>
      <c r="N139" s="18">
        <v>14.54668119382173</v>
      </c>
      <c r="O139" s="19">
        <v>2727133.333333333</v>
      </c>
      <c r="P139" s="18">
        <v>59.482852858686961</v>
      </c>
      <c r="Q139" s="13">
        <v>1</v>
      </c>
    </row>
    <row r="140" spans="1:17" ht="19.05" customHeight="1">
      <c r="A140" s="20" t="s">
        <v>76</v>
      </c>
      <c r="B140" s="21">
        <v>2020</v>
      </c>
      <c r="C140" s="22">
        <v>1198000</v>
      </c>
      <c r="D140" s="22"/>
      <c r="E140" s="23">
        <v>16.309999999999999</v>
      </c>
      <c r="F140" s="23">
        <v>14.92</v>
      </c>
      <c r="G140" s="23">
        <v>79.03</v>
      </c>
      <c r="H140" s="23">
        <v>97.58</v>
      </c>
      <c r="I140" s="23"/>
      <c r="J140" s="23">
        <v>4.8099999999999996</v>
      </c>
      <c r="K140" s="24">
        <v>52084.9</v>
      </c>
      <c r="L140" s="22">
        <v>653</v>
      </c>
      <c r="M140" s="23">
        <v>68.400000000000006</v>
      </c>
      <c r="N140" s="23">
        <v>18.78938973734812</v>
      </c>
      <c r="O140" s="24">
        <v>4340408.333333333</v>
      </c>
      <c r="P140" s="23">
        <v>59.741026032622223</v>
      </c>
      <c r="Q140" s="13">
        <v>1</v>
      </c>
    </row>
    <row r="141" spans="1:17" ht="19.05" customHeight="1">
      <c r="A141" s="3" t="s">
        <v>76</v>
      </c>
      <c r="B141" s="16">
        <v>2021</v>
      </c>
      <c r="C141" s="17">
        <v>1203770</v>
      </c>
      <c r="D141" s="17">
        <v>192.58</v>
      </c>
      <c r="E141" s="18">
        <v>16.309999999999999</v>
      </c>
      <c r="F141" s="18">
        <v>17.46</v>
      </c>
      <c r="G141" s="18">
        <v>83.8</v>
      </c>
      <c r="H141" s="18">
        <v>96.4</v>
      </c>
      <c r="I141" s="18"/>
      <c r="J141" s="18">
        <v>4.68</v>
      </c>
      <c r="K141" s="19">
        <v>54739.5</v>
      </c>
      <c r="L141" s="17">
        <v>633</v>
      </c>
      <c r="M141" s="18">
        <v>68.91</v>
      </c>
      <c r="N141" s="18">
        <v>16.076512676930871</v>
      </c>
      <c r="O141" s="19">
        <v>4561625</v>
      </c>
      <c r="P141" s="18">
        <v>60.123928927814241</v>
      </c>
      <c r="Q141" s="13">
        <v>1</v>
      </c>
    </row>
    <row r="142" spans="1:17" ht="19.05" customHeight="1">
      <c r="A142" s="20" t="s">
        <v>76</v>
      </c>
      <c r="B142" s="21">
        <v>2022</v>
      </c>
      <c r="C142" s="22">
        <v>1209540</v>
      </c>
      <c r="D142" s="22">
        <v>178.05</v>
      </c>
      <c r="E142" s="23">
        <v>15.02</v>
      </c>
      <c r="F142" s="23">
        <v>64.64</v>
      </c>
      <c r="G142" s="23">
        <v>80.989999999999995</v>
      </c>
      <c r="H142" s="23">
        <v>97.51</v>
      </c>
      <c r="I142" s="23"/>
      <c r="J142" s="23">
        <v>4.54</v>
      </c>
      <c r="K142" s="24">
        <v>62058.7</v>
      </c>
      <c r="L142" s="22">
        <v>613</v>
      </c>
      <c r="M142" s="23">
        <v>69.67</v>
      </c>
      <c r="N142" s="23">
        <v>16.90515407945859</v>
      </c>
      <c r="O142" s="24">
        <v>5171558.333333333</v>
      </c>
      <c r="P142" s="23">
        <v>59.967378805903962</v>
      </c>
      <c r="Q142" s="13">
        <v>1</v>
      </c>
    </row>
    <row r="143" spans="1:17" ht="19.05" customHeight="1">
      <c r="A143" s="3" t="s">
        <v>76</v>
      </c>
      <c r="B143" s="16">
        <v>2023</v>
      </c>
      <c r="C143" s="17">
        <v>1209540</v>
      </c>
      <c r="D143" s="17"/>
      <c r="E143" s="18">
        <v>15.02</v>
      </c>
      <c r="F143" s="18">
        <v>14.34</v>
      </c>
      <c r="G143" s="18">
        <v>80.989999999999995</v>
      </c>
      <c r="H143" s="18">
        <v>97.51</v>
      </c>
      <c r="I143" s="18"/>
      <c r="J143" s="18">
        <v>4.4000000000000004</v>
      </c>
      <c r="K143" s="19">
        <v>67175.8</v>
      </c>
      <c r="L143" s="17">
        <v>613</v>
      </c>
      <c r="M143" s="18">
        <v>70.34</v>
      </c>
      <c r="N143" s="18">
        <v>18.465929440480021</v>
      </c>
      <c r="O143" s="19">
        <v>5597983.333333333</v>
      </c>
      <c r="P143" s="18">
        <v>60.955736664836927</v>
      </c>
      <c r="Q143" s="13">
        <v>1</v>
      </c>
    </row>
    <row r="144" spans="1:17" ht="19.05" customHeight="1">
      <c r="A144" s="20" t="s">
        <v>76</v>
      </c>
      <c r="B144" s="21">
        <v>2024</v>
      </c>
      <c r="C144" s="22">
        <v>1209540</v>
      </c>
      <c r="D144" s="22"/>
      <c r="E144" s="23">
        <v>15.02</v>
      </c>
      <c r="F144" s="23">
        <v>11.97</v>
      </c>
      <c r="G144" s="23">
        <v>80.989999999999995</v>
      </c>
      <c r="H144" s="23">
        <v>97.51</v>
      </c>
      <c r="I144" s="23"/>
      <c r="J144" s="23">
        <v>4.28</v>
      </c>
      <c r="K144" s="24">
        <v>71099.100000000006</v>
      </c>
      <c r="L144" s="22">
        <v>613</v>
      </c>
      <c r="M144" s="23">
        <v>72.31</v>
      </c>
      <c r="N144" s="23">
        <v>16.15457563711113</v>
      </c>
      <c r="O144" s="24">
        <v>5924925</v>
      </c>
      <c r="P144" s="23">
        <v>60.676957986358993</v>
      </c>
      <c r="Q144" s="13">
        <v>1</v>
      </c>
    </row>
    <row r="145" spans="1:17" ht="19.05" customHeight="1">
      <c r="A145" s="3" t="s">
        <v>77</v>
      </c>
      <c r="B145" s="16">
        <v>2020</v>
      </c>
      <c r="C145" s="17">
        <v>1089800</v>
      </c>
      <c r="D145" s="17"/>
      <c r="E145" s="18">
        <v>7.51</v>
      </c>
      <c r="F145" s="18">
        <v>25.06</v>
      </c>
      <c r="G145" s="18">
        <v>89.45</v>
      </c>
      <c r="H145" s="18">
        <v>96.75</v>
      </c>
      <c r="I145" s="18"/>
      <c r="J145" s="18">
        <v>4.6100000000000003</v>
      </c>
      <c r="K145" s="19">
        <v>35142.699999999997</v>
      </c>
      <c r="L145" s="17">
        <v>1032</v>
      </c>
      <c r="M145" s="18">
        <v>73</v>
      </c>
      <c r="N145" s="18">
        <v>16.767987142535951</v>
      </c>
      <c r="O145" s="19">
        <v>2928558.333333333</v>
      </c>
      <c r="P145" s="18">
        <v>63.774070988862753</v>
      </c>
      <c r="Q145" s="14">
        <v>0</v>
      </c>
    </row>
    <row r="146" spans="1:17" ht="19.05" customHeight="1">
      <c r="A146" s="20" t="s">
        <v>77</v>
      </c>
      <c r="B146" s="21">
        <v>2021</v>
      </c>
      <c r="C146" s="22">
        <v>1097570</v>
      </c>
      <c r="D146" s="22">
        <v>78.59</v>
      </c>
      <c r="E146" s="23">
        <v>7.51</v>
      </c>
      <c r="F146" s="23">
        <v>26.51</v>
      </c>
      <c r="G146" s="23">
        <v>85.37</v>
      </c>
      <c r="H146" s="23">
        <v>97.4</v>
      </c>
      <c r="I146" s="23"/>
      <c r="J146" s="23">
        <v>4.91</v>
      </c>
      <c r="K146" s="24">
        <v>36688.300000000003</v>
      </c>
      <c r="L146" s="22">
        <v>999</v>
      </c>
      <c r="M146" s="23">
        <v>73.150000000000006</v>
      </c>
      <c r="N146" s="23">
        <v>18.13220999482936</v>
      </c>
      <c r="O146" s="24">
        <v>3057358.333333333</v>
      </c>
      <c r="P146" s="23">
        <v>63.239712305305872</v>
      </c>
      <c r="Q146" s="14">
        <v>0</v>
      </c>
    </row>
    <row r="147" spans="1:17" ht="19.05" customHeight="1">
      <c r="A147" s="3" t="s">
        <v>77</v>
      </c>
      <c r="B147" s="16">
        <v>2022</v>
      </c>
      <c r="C147" s="17">
        <v>1105340</v>
      </c>
      <c r="D147" s="17">
        <v>70.52</v>
      </c>
      <c r="E147" s="18">
        <v>6.71</v>
      </c>
      <c r="F147" s="18">
        <v>78.209999999999994</v>
      </c>
      <c r="G147" s="18">
        <v>83.6</v>
      </c>
      <c r="H147" s="18">
        <v>96.39</v>
      </c>
      <c r="I147" s="18"/>
      <c r="J147" s="18">
        <v>6.65</v>
      </c>
      <c r="K147" s="19">
        <v>40068.699999999997</v>
      </c>
      <c r="L147" s="17">
        <v>966</v>
      </c>
      <c r="M147" s="18">
        <v>74.06</v>
      </c>
      <c r="N147" s="18">
        <v>14.8146936192804</v>
      </c>
      <c r="O147" s="19">
        <v>3339058.333333333</v>
      </c>
      <c r="P147" s="18">
        <v>61.541550901206342</v>
      </c>
      <c r="Q147" s="14">
        <v>0</v>
      </c>
    </row>
    <row r="148" spans="1:17" ht="19.05" customHeight="1">
      <c r="A148" s="20" t="s">
        <v>77</v>
      </c>
      <c r="B148" s="21">
        <v>2023</v>
      </c>
      <c r="C148" s="22">
        <v>1105340</v>
      </c>
      <c r="D148" s="22"/>
      <c r="E148" s="23">
        <v>6.71</v>
      </c>
      <c r="F148" s="23">
        <v>23.66</v>
      </c>
      <c r="G148" s="23">
        <v>83.6</v>
      </c>
      <c r="H148" s="23">
        <v>96.39</v>
      </c>
      <c r="I148" s="23"/>
      <c r="J148" s="23">
        <v>5.65</v>
      </c>
      <c r="K148" s="24">
        <v>43296.9</v>
      </c>
      <c r="L148" s="22">
        <v>966</v>
      </c>
      <c r="M148" s="23">
        <v>74.61</v>
      </c>
      <c r="N148" s="23">
        <v>17.158948026029169</v>
      </c>
      <c r="O148" s="24">
        <v>3608075</v>
      </c>
      <c r="P148" s="23">
        <v>62.84351447355192</v>
      </c>
      <c r="Q148" s="14">
        <v>0</v>
      </c>
    </row>
    <row r="149" spans="1:17" ht="19.05" customHeight="1">
      <c r="A149" s="3" t="s">
        <v>77</v>
      </c>
      <c r="B149" s="16">
        <v>2024</v>
      </c>
      <c r="C149" s="17">
        <v>1105340</v>
      </c>
      <c r="D149" s="17"/>
      <c r="E149" s="18">
        <v>6.71</v>
      </c>
      <c r="F149" s="18">
        <v>22.07</v>
      </c>
      <c r="G149" s="18">
        <v>83.6</v>
      </c>
      <c r="H149" s="18">
        <v>96.39</v>
      </c>
      <c r="I149" s="18"/>
      <c r="J149" s="18">
        <v>4.12</v>
      </c>
      <c r="K149" s="19">
        <v>46008.7</v>
      </c>
      <c r="L149" s="17">
        <v>966</v>
      </c>
      <c r="M149" s="18">
        <v>75.13</v>
      </c>
      <c r="N149" s="18">
        <v>17.401120424210891</v>
      </c>
      <c r="O149" s="19">
        <v>3834058.333333333</v>
      </c>
      <c r="P149" s="18">
        <v>63.163286349635797</v>
      </c>
      <c r="Q149" s="14">
        <v>0</v>
      </c>
    </row>
    <row r="150" spans="1:17" ht="19.05" customHeight="1">
      <c r="A150" s="20" t="s">
        <v>78</v>
      </c>
      <c r="B150" s="21">
        <v>2020</v>
      </c>
      <c r="C150" s="22">
        <v>213000</v>
      </c>
      <c r="D150" s="22"/>
      <c r="E150" s="23">
        <v>4.09</v>
      </c>
      <c r="F150" s="23">
        <v>38.619999999999997</v>
      </c>
      <c r="G150" s="23">
        <v>93.2</v>
      </c>
      <c r="H150" s="23">
        <v>99.02</v>
      </c>
      <c r="I150" s="23"/>
      <c r="J150" s="23">
        <v>5.93</v>
      </c>
      <c r="K150" s="24">
        <v>74883.600000000006</v>
      </c>
      <c r="L150" s="22">
        <v>1558</v>
      </c>
      <c r="M150" s="23">
        <v>75.900000000000006</v>
      </c>
      <c r="N150" s="23">
        <v>19.81880278514684</v>
      </c>
      <c r="O150" s="24">
        <v>6240300</v>
      </c>
      <c r="P150" s="23">
        <v>67.467139746990853</v>
      </c>
      <c r="Q150" s="14">
        <v>0</v>
      </c>
    </row>
    <row r="151" spans="1:17" ht="19.05" customHeight="1">
      <c r="A151" s="3" t="s">
        <v>78</v>
      </c>
      <c r="B151" s="16">
        <v>2021</v>
      </c>
      <c r="C151" s="17">
        <v>214870</v>
      </c>
      <c r="D151" s="17">
        <v>8.6300000000000008</v>
      </c>
      <c r="E151" s="18">
        <v>4.09</v>
      </c>
      <c r="F151" s="18">
        <v>39.270000000000003</v>
      </c>
      <c r="G151" s="18">
        <v>95.57</v>
      </c>
      <c r="H151" s="18">
        <v>100</v>
      </c>
      <c r="I151" s="18"/>
      <c r="J151" s="18">
        <v>6.57</v>
      </c>
      <c r="K151" s="19">
        <v>78330.899999999994</v>
      </c>
      <c r="L151" s="17">
        <v>1337</v>
      </c>
      <c r="M151" s="18">
        <v>76.28</v>
      </c>
      <c r="N151" s="18">
        <v>17.3252230398334</v>
      </c>
      <c r="O151" s="19">
        <v>6527575</v>
      </c>
      <c r="P151" s="18">
        <v>67.179256787615401</v>
      </c>
      <c r="Q151" s="14">
        <v>0</v>
      </c>
    </row>
    <row r="152" spans="1:17" ht="19.05" customHeight="1">
      <c r="A152" s="20" t="s">
        <v>78</v>
      </c>
      <c r="B152" s="21">
        <v>2022</v>
      </c>
      <c r="C152" s="22">
        <v>216740</v>
      </c>
      <c r="D152" s="22">
        <v>8.0500000000000007</v>
      </c>
      <c r="E152" s="23">
        <v>3.79</v>
      </c>
      <c r="F152" s="23">
        <v>80.27</v>
      </c>
      <c r="G152" s="23">
        <v>94.37</v>
      </c>
      <c r="H152" s="23">
        <v>99.12</v>
      </c>
      <c r="I152" s="23"/>
      <c r="J152" s="23">
        <v>8.43</v>
      </c>
      <c r="K152" s="24">
        <v>85413.5</v>
      </c>
      <c r="L152" s="22">
        <v>1116</v>
      </c>
      <c r="M152" s="23">
        <v>77.22</v>
      </c>
      <c r="N152" s="23">
        <v>17.224608053100091</v>
      </c>
      <c r="O152" s="24">
        <v>7117791.666666667</v>
      </c>
      <c r="P152" s="23">
        <v>67.148819101430803</v>
      </c>
      <c r="Q152" s="14">
        <v>0</v>
      </c>
    </row>
    <row r="153" spans="1:17" ht="19.05" customHeight="1">
      <c r="A153" s="3" t="s">
        <v>78</v>
      </c>
      <c r="B153" s="16">
        <v>2023</v>
      </c>
      <c r="C153" s="17">
        <v>216740</v>
      </c>
      <c r="D153" s="17"/>
      <c r="E153" s="18">
        <v>3.79</v>
      </c>
      <c r="F153" s="18">
        <v>38</v>
      </c>
      <c r="G153" s="18">
        <v>94.37</v>
      </c>
      <c r="H153" s="18">
        <v>99.12</v>
      </c>
      <c r="I153" s="18"/>
      <c r="J153" s="18">
        <v>4.5199999999999996</v>
      </c>
      <c r="K153" s="19">
        <v>93214.3</v>
      </c>
      <c r="L153" s="17">
        <v>1116</v>
      </c>
      <c r="M153" s="18">
        <v>78.180000000000007</v>
      </c>
      <c r="N153" s="18">
        <v>19.653978306220701</v>
      </c>
      <c r="O153" s="19">
        <v>7767858.333333333</v>
      </c>
      <c r="P153" s="18">
        <v>68.654066910563401</v>
      </c>
      <c r="Q153" s="14">
        <v>0</v>
      </c>
    </row>
    <row r="154" spans="1:17" ht="19.05" customHeight="1">
      <c r="A154" s="20" t="s">
        <v>78</v>
      </c>
      <c r="B154" s="21">
        <v>2024</v>
      </c>
      <c r="C154" s="22">
        <v>216740</v>
      </c>
      <c r="D154" s="22"/>
      <c r="E154" s="23">
        <v>3.79</v>
      </c>
      <c r="F154" s="23">
        <v>36.33</v>
      </c>
      <c r="G154" s="23">
        <v>94.37</v>
      </c>
      <c r="H154" s="23">
        <v>99.12</v>
      </c>
      <c r="I154" s="23"/>
      <c r="J154" s="23">
        <v>3.63</v>
      </c>
      <c r="K154" s="24">
        <v>99487.2</v>
      </c>
      <c r="L154" s="22">
        <v>1116</v>
      </c>
      <c r="M154" s="23">
        <v>79.69</v>
      </c>
      <c r="N154" s="23">
        <v>19.546849658547721</v>
      </c>
      <c r="O154" s="24">
        <v>8290600</v>
      </c>
      <c r="P154" s="23">
        <v>69.208622919329713</v>
      </c>
      <c r="Q154" s="14">
        <v>0</v>
      </c>
    </row>
    <row r="155" spans="1:17" ht="19.05" customHeight="1">
      <c r="A155" s="3" t="s">
        <v>79</v>
      </c>
      <c r="B155" s="16">
        <v>2020</v>
      </c>
      <c r="C155" s="17">
        <v>1632193.333333333</v>
      </c>
      <c r="D155" s="17"/>
      <c r="E155" s="18">
        <v>7.6566666666666672</v>
      </c>
      <c r="F155" s="18">
        <v>34.01</v>
      </c>
      <c r="G155" s="18">
        <v>82.999999999999986</v>
      </c>
      <c r="H155" s="18">
        <v>96.26666666666668</v>
      </c>
      <c r="I155" s="18"/>
      <c r="J155" s="18">
        <v>6.68</v>
      </c>
      <c r="K155" s="19">
        <v>45090.1</v>
      </c>
      <c r="L155" s="17">
        <v>901.66666666666663</v>
      </c>
      <c r="M155" s="18">
        <v>78.569999999999993</v>
      </c>
      <c r="N155" s="18">
        <v>17.256730276548321</v>
      </c>
      <c r="O155" s="19">
        <v>3757508.333333333</v>
      </c>
      <c r="P155" s="18">
        <v>64.292644743022294</v>
      </c>
      <c r="Q155" s="14">
        <v>0</v>
      </c>
    </row>
    <row r="156" spans="1:17" ht="19.05" customHeight="1">
      <c r="A156" s="20" t="s">
        <v>79</v>
      </c>
      <c r="B156" s="21">
        <v>2021</v>
      </c>
      <c r="C156" s="22">
        <v>1833113.333333333</v>
      </c>
      <c r="D156" s="22"/>
      <c r="E156" s="23">
        <v>8.1100000000000012</v>
      </c>
      <c r="F156" s="23">
        <v>35</v>
      </c>
      <c r="G156" s="23">
        <v>80.946666666666673</v>
      </c>
      <c r="H156" s="23">
        <v>94.676666666666662</v>
      </c>
      <c r="I156" s="23"/>
      <c r="J156" s="23">
        <v>6.61</v>
      </c>
      <c r="K156" s="24">
        <v>47329.3</v>
      </c>
      <c r="L156" s="22">
        <v>678</v>
      </c>
      <c r="M156" s="23">
        <v>78.98</v>
      </c>
      <c r="N156" s="23">
        <v>17.150926679467329</v>
      </c>
      <c r="O156" s="24">
        <v>3944108.333333333</v>
      </c>
      <c r="P156" s="23">
        <v>63.79181231360031</v>
      </c>
      <c r="Q156" s="14">
        <v>0</v>
      </c>
    </row>
    <row r="157" spans="1:17" ht="19.05" customHeight="1">
      <c r="A157" s="3" t="s">
        <v>79</v>
      </c>
      <c r="B157" s="16">
        <v>2022</v>
      </c>
      <c r="C157" s="17">
        <v>1867938.333333333</v>
      </c>
      <c r="D157" s="17"/>
      <c r="E157" s="18">
        <v>11.31</v>
      </c>
      <c r="F157" s="18">
        <v>90.52</v>
      </c>
      <c r="G157" s="18">
        <v>80.66</v>
      </c>
      <c r="H157" s="18">
        <v>95.92</v>
      </c>
      <c r="I157" s="18"/>
      <c r="J157" s="18">
        <v>5.39</v>
      </c>
      <c r="K157" s="19">
        <v>51593.4</v>
      </c>
      <c r="L157" s="17">
        <v>604.83333333333337</v>
      </c>
      <c r="M157" s="18">
        <v>79.930000000000007</v>
      </c>
      <c r="N157" s="18">
        <v>15.997786450468119</v>
      </c>
      <c r="O157" s="19">
        <v>4299450</v>
      </c>
      <c r="P157" s="18">
        <v>63.553593746369899</v>
      </c>
      <c r="Q157" s="13">
        <v>1</v>
      </c>
    </row>
    <row r="158" spans="1:17" ht="19.05" customHeight="1">
      <c r="A158" s="20" t="s">
        <v>79</v>
      </c>
      <c r="B158" s="21">
        <v>2023</v>
      </c>
      <c r="C158" s="22">
        <v>1412366.666666667</v>
      </c>
      <c r="D158" s="22"/>
      <c r="E158" s="23">
        <v>12.36333333333333</v>
      </c>
      <c r="F158" s="23">
        <v>30.56</v>
      </c>
      <c r="G158" s="23">
        <v>83.63</v>
      </c>
      <c r="H158" s="23">
        <v>96.436666666666682</v>
      </c>
      <c r="I158" s="23"/>
      <c r="J158" s="23">
        <v>5.24</v>
      </c>
      <c r="K158" s="24">
        <v>55523.3</v>
      </c>
      <c r="L158" s="22">
        <v>569</v>
      </c>
      <c r="M158" s="23">
        <v>80.63</v>
      </c>
      <c r="N158" s="23">
        <v>17.202756036181459</v>
      </c>
      <c r="O158" s="24">
        <v>4626941.666666667</v>
      </c>
      <c r="P158" s="23">
        <v>65.28073355516068</v>
      </c>
      <c r="Q158" s="13">
        <v>1</v>
      </c>
    </row>
    <row r="159" spans="1:17" ht="19.05" customHeight="1">
      <c r="A159" s="3" t="s">
        <v>79</v>
      </c>
      <c r="B159" s="16">
        <v>2024</v>
      </c>
      <c r="C159" s="17">
        <v>1557666.666666667</v>
      </c>
      <c r="D159" s="17"/>
      <c r="E159" s="18">
        <v>10.01333333333333</v>
      </c>
      <c r="F159" s="18">
        <v>30.33</v>
      </c>
      <c r="G159" s="18">
        <v>79.043333333333337</v>
      </c>
      <c r="H159" s="18">
        <v>96.483333333333363</v>
      </c>
      <c r="I159" s="18"/>
      <c r="J159" s="18">
        <v>5.1100000000000003</v>
      </c>
      <c r="K159" s="19">
        <v>59326.400000000001</v>
      </c>
      <c r="L159" s="17">
        <v>525.66666666666663</v>
      </c>
      <c r="M159" s="18">
        <v>81.44</v>
      </c>
      <c r="N159" s="18">
        <v>17.346311925526269</v>
      </c>
      <c r="O159" s="19">
        <v>4943866.666666667</v>
      </c>
      <c r="P159" s="18">
        <v>64.294990119473667</v>
      </c>
      <c r="Q159" s="13">
        <v>1</v>
      </c>
    </row>
    <row r="160" spans="1:17" ht="19.05" customHeight="1">
      <c r="A160" s="20" t="s">
        <v>80</v>
      </c>
      <c r="B160" s="21">
        <v>2020</v>
      </c>
      <c r="C160" s="22">
        <v>2887220</v>
      </c>
      <c r="D160" s="22"/>
      <c r="E160" s="23">
        <v>4.72</v>
      </c>
      <c r="F160" s="23">
        <v>34.26</v>
      </c>
      <c r="G160" s="23">
        <v>96.41</v>
      </c>
      <c r="H160" s="23">
        <v>95.66</v>
      </c>
      <c r="I160" s="23"/>
      <c r="J160" s="23">
        <v>6.21</v>
      </c>
      <c r="K160" s="24">
        <v>462198.7</v>
      </c>
      <c r="L160" s="22">
        <v>8595</v>
      </c>
      <c r="M160" s="23">
        <v>78.23</v>
      </c>
      <c r="N160" s="23">
        <v>24.622876810206801</v>
      </c>
      <c r="O160" s="24">
        <v>38516558.333333343</v>
      </c>
      <c r="P160" s="23">
        <v>71.579404681633903</v>
      </c>
      <c r="Q160" s="14">
        <v>0</v>
      </c>
    </row>
    <row r="161" spans="1:17" ht="19.05" customHeight="1">
      <c r="A161" s="3" t="s">
        <v>80</v>
      </c>
      <c r="B161" s="16">
        <v>2021</v>
      </c>
      <c r="C161" s="17">
        <v>2887220</v>
      </c>
      <c r="D161" s="17"/>
      <c r="E161" s="18">
        <v>4.72</v>
      </c>
      <c r="F161" s="18">
        <v>35.130000000000003</v>
      </c>
      <c r="G161" s="18">
        <v>96.41</v>
      </c>
      <c r="H161" s="18">
        <v>95.66</v>
      </c>
      <c r="I161" s="18"/>
      <c r="J161" s="18">
        <v>6.37</v>
      </c>
      <c r="K161" s="19">
        <v>489294</v>
      </c>
      <c r="L161" s="17">
        <v>8595</v>
      </c>
      <c r="M161" s="18">
        <v>78.599999999999994</v>
      </c>
      <c r="N161" s="18">
        <v>27.861449551719879</v>
      </c>
      <c r="O161" s="19">
        <v>40774500</v>
      </c>
      <c r="P161" s="18">
        <v>73.222130562332254</v>
      </c>
      <c r="Q161" s="14">
        <v>0</v>
      </c>
    </row>
    <row r="162" spans="1:17" ht="19.05" customHeight="1">
      <c r="A162" s="20" t="s">
        <v>80</v>
      </c>
      <c r="B162" s="21">
        <v>2022</v>
      </c>
      <c r="C162" s="22">
        <v>2887220</v>
      </c>
      <c r="D162" s="22"/>
      <c r="E162" s="23">
        <v>4.72</v>
      </c>
      <c r="F162" s="23">
        <v>87.08</v>
      </c>
      <c r="G162" s="23">
        <v>96.41</v>
      </c>
      <c r="H162" s="23">
        <v>95.66</v>
      </c>
      <c r="I162" s="23"/>
      <c r="J162" s="23">
        <v>4.38</v>
      </c>
      <c r="K162" s="24">
        <v>522857.1</v>
      </c>
      <c r="L162" s="22">
        <v>8595</v>
      </c>
      <c r="M162" s="23">
        <v>79.59</v>
      </c>
      <c r="N162" s="23">
        <v>26.35698129236204</v>
      </c>
      <c r="O162" s="24">
        <v>43571425</v>
      </c>
      <c r="P162" s="23">
        <v>72.923760596474779</v>
      </c>
      <c r="Q162" s="14">
        <v>0</v>
      </c>
    </row>
    <row r="163" spans="1:17" ht="19.05" customHeight="1">
      <c r="A163" s="3" t="s">
        <v>80</v>
      </c>
      <c r="B163" s="16">
        <v>2023</v>
      </c>
      <c r="C163" s="17">
        <v>2887220</v>
      </c>
      <c r="D163" s="17"/>
      <c r="E163" s="18">
        <v>4.72</v>
      </c>
      <c r="F163" s="18">
        <v>33.479999999999997</v>
      </c>
      <c r="G163" s="18">
        <v>96.41</v>
      </c>
      <c r="H163" s="18">
        <v>95.66</v>
      </c>
      <c r="I163" s="18"/>
      <c r="J163" s="18">
        <v>4.0599999999999996</v>
      </c>
      <c r="K163" s="19">
        <v>541067.69999999995</v>
      </c>
      <c r="L163" s="17">
        <v>8595</v>
      </c>
      <c r="M163" s="18">
        <v>80.44</v>
      </c>
      <c r="N163" s="18">
        <v>24.444408126316159</v>
      </c>
      <c r="O163" s="19">
        <v>45088975</v>
      </c>
      <c r="P163" s="18">
        <v>72.381034519838238</v>
      </c>
      <c r="Q163" s="14">
        <v>0</v>
      </c>
    </row>
    <row r="164" spans="1:17" ht="19.05" customHeight="1">
      <c r="A164" s="20" t="s">
        <v>80</v>
      </c>
      <c r="B164" s="21">
        <v>2024</v>
      </c>
      <c r="C164" s="22">
        <v>2887220</v>
      </c>
      <c r="D164" s="22"/>
      <c r="E164" s="23">
        <v>4.72</v>
      </c>
      <c r="F164" s="23">
        <v>30.44</v>
      </c>
      <c r="G164" s="23">
        <v>96.41</v>
      </c>
      <c r="H164" s="23">
        <v>95.66</v>
      </c>
      <c r="I164" s="23"/>
      <c r="J164" s="23">
        <v>3.91</v>
      </c>
      <c r="K164" s="24">
        <v>565840.5</v>
      </c>
      <c r="L164" s="22">
        <v>8595</v>
      </c>
      <c r="M164" s="23">
        <v>81.88</v>
      </c>
      <c r="N164" s="23">
        <v>26.773756220119679</v>
      </c>
      <c r="O164" s="24">
        <v>47153375</v>
      </c>
      <c r="P164" s="23">
        <v>74.032118255439855</v>
      </c>
      <c r="Q164" s="14">
        <v>0</v>
      </c>
    </row>
    <row r="165" spans="1:17" ht="19.05" customHeight="1">
      <c r="A165" s="3" t="s">
        <v>81</v>
      </c>
      <c r="B165" s="16">
        <v>2020</v>
      </c>
      <c r="C165" s="17">
        <v>1179426.666666667</v>
      </c>
      <c r="D165" s="17"/>
      <c r="E165" s="18">
        <v>13.553333333333329</v>
      </c>
      <c r="F165" s="18">
        <v>35.39</v>
      </c>
      <c r="G165" s="18">
        <v>84.333333333333329</v>
      </c>
      <c r="H165" s="18">
        <v>98.073333333333338</v>
      </c>
      <c r="I165" s="18"/>
      <c r="J165" s="18">
        <v>8.32</v>
      </c>
      <c r="K165" s="19">
        <v>69463.100000000006</v>
      </c>
      <c r="L165" s="17">
        <v>928.33333333333337</v>
      </c>
      <c r="M165" s="18">
        <v>80.91</v>
      </c>
      <c r="N165" s="18">
        <v>16.901828420421779</v>
      </c>
      <c r="O165" s="19">
        <v>5788591.666666667</v>
      </c>
      <c r="P165" s="18">
        <v>65.464843886348504</v>
      </c>
      <c r="Q165" s="13">
        <v>1</v>
      </c>
    </row>
    <row r="166" spans="1:17" ht="19.05" customHeight="1">
      <c r="A166" s="20" t="s">
        <v>81</v>
      </c>
      <c r="B166" s="21">
        <v>2021</v>
      </c>
      <c r="C166" s="22">
        <v>882443.33333333337</v>
      </c>
      <c r="D166" s="22"/>
      <c r="E166" s="23">
        <v>8.9733333333333327</v>
      </c>
      <c r="F166" s="23">
        <v>36.79</v>
      </c>
      <c r="G166" s="23">
        <v>91.743333333333339</v>
      </c>
      <c r="H166" s="23">
        <v>98.243333333333339</v>
      </c>
      <c r="I166" s="23"/>
      <c r="J166" s="23">
        <v>8.15</v>
      </c>
      <c r="K166" s="24">
        <v>73502</v>
      </c>
      <c r="L166" s="22">
        <v>1228.666666666667</v>
      </c>
      <c r="M166" s="23">
        <v>81.25</v>
      </c>
      <c r="N166" s="23">
        <v>19.49359308325262</v>
      </c>
      <c r="O166" s="24">
        <v>6125166.666666667</v>
      </c>
      <c r="P166" s="23">
        <v>69.020042961501204</v>
      </c>
      <c r="Q166" s="14">
        <v>0</v>
      </c>
    </row>
    <row r="167" spans="1:17" ht="19.05" customHeight="1">
      <c r="A167" s="3" t="s">
        <v>81</v>
      </c>
      <c r="B167" s="16">
        <v>2022</v>
      </c>
      <c r="C167" s="17">
        <v>885463.33333333337</v>
      </c>
      <c r="D167" s="17"/>
      <c r="E167" s="18">
        <v>8.9733333333333345</v>
      </c>
      <c r="F167" s="18">
        <v>72.92</v>
      </c>
      <c r="G167" s="18">
        <v>91.306666666666686</v>
      </c>
      <c r="H167" s="18">
        <v>98.293333333333337</v>
      </c>
      <c r="I167" s="18"/>
      <c r="J167" s="18">
        <v>6.39</v>
      </c>
      <c r="K167" s="19">
        <v>79816.600000000006</v>
      </c>
      <c r="L167" s="17">
        <v>1087</v>
      </c>
      <c r="M167" s="18">
        <v>82.01</v>
      </c>
      <c r="N167" s="18">
        <v>19.99844391399148</v>
      </c>
      <c r="O167" s="19">
        <v>6651383.333333333</v>
      </c>
      <c r="P167" s="18">
        <v>69.426051037226827</v>
      </c>
      <c r="Q167" s="14">
        <v>0</v>
      </c>
    </row>
    <row r="168" spans="1:17" ht="19.05" customHeight="1">
      <c r="A168" s="20" t="s">
        <v>81</v>
      </c>
      <c r="B168" s="21">
        <v>2023</v>
      </c>
      <c r="C168" s="22">
        <v>985440</v>
      </c>
      <c r="D168" s="22"/>
      <c r="E168" s="23">
        <v>7.7333333333333334</v>
      </c>
      <c r="F168" s="23">
        <v>33.44</v>
      </c>
      <c r="G168" s="23">
        <v>88.089999999999989</v>
      </c>
      <c r="H168" s="23">
        <v>97.793333333333337</v>
      </c>
      <c r="I168" s="23"/>
      <c r="J168" s="23">
        <v>5.85</v>
      </c>
      <c r="K168" s="24">
        <v>86285</v>
      </c>
      <c r="L168" s="22">
        <v>1119</v>
      </c>
      <c r="M168" s="23">
        <v>82.71</v>
      </c>
      <c r="N168" s="23">
        <v>17.852937692156448</v>
      </c>
      <c r="O168" s="24">
        <v>7190416.666666667</v>
      </c>
      <c r="P168" s="23">
        <v>67.750817396379901</v>
      </c>
      <c r="Q168" s="14">
        <v>0</v>
      </c>
    </row>
    <row r="169" spans="1:17" ht="19.05" customHeight="1">
      <c r="A169" s="3" t="s">
        <v>81</v>
      </c>
      <c r="B169" s="16">
        <v>2024</v>
      </c>
      <c r="C169" s="17">
        <v>985440</v>
      </c>
      <c r="D169" s="17"/>
      <c r="E169" s="18">
        <v>7.7333333333333334</v>
      </c>
      <c r="F169" s="18">
        <v>31.18</v>
      </c>
      <c r="G169" s="18">
        <v>88.089999999999989</v>
      </c>
      <c r="H169" s="18">
        <v>97.793333333333337</v>
      </c>
      <c r="I169" s="18"/>
      <c r="J169" s="18">
        <v>4.3</v>
      </c>
      <c r="K169" s="19">
        <v>92449.2</v>
      </c>
      <c r="L169" s="17">
        <v>1119</v>
      </c>
      <c r="M169" s="18">
        <v>84.51</v>
      </c>
      <c r="N169" s="18">
        <v>20.166316663696769</v>
      </c>
      <c r="O169" s="19">
        <v>7704100</v>
      </c>
      <c r="P169" s="18">
        <v>69.538530767860038</v>
      </c>
      <c r="Q169" s="14">
        <v>0</v>
      </c>
    </row>
    <row r="170" spans="1:17" ht="19.05" customHeight="1">
      <c r="A170" s="20" t="s">
        <v>82</v>
      </c>
      <c r="B170" s="21">
        <v>2020</v>
      </c>
      <c r="C170" s="22">
        <v>985440</v>
      </c>
      <c r="D170" s="22"/>
      <c r="E170" s="23">
        <v>7.7333333333333334</v>
      </c>
      <c r="F170" s="23">
        <v>60.88</v>
      </c>
      <c r="G170" s="23">
        <v>88.089999999999989</v>
      </c>
      <c r="H170" s="23">
        <v>97.793333333333337</v>
      </c>
      <c r="I170" s="23"/>
      <c r="J170" s="23">
        <v>9.61</v>
      </c>
      <c r="K170" s="24">
        <v>85539.5</v>
      </c>
      <c r="L170" s="22">
        <v>1119</v>
      </c>
      <c r="M170" s="23">
        <v>81.45</v>
      </c>
      <c r="N170" s="23">
        <v>19.311399803661121</v>
      </c>
      <c r="O170" s="24">
        <v>7128291.666666667</v>
      </c>
      <c r="P170" s="23">
        <v>67.919953755535914</v>
      </c>
      <c r="Q170" s="14">
        <v>0</v>
      </c>
    </row>
    <row r="171" spans="1:17" ht="19.05" customHeight="1">
      <c r="A171" s="3" t="s">
        <v>82</v>
      </c>
      <c r="B171" s="16">
        <v>2021</v>
      </c>
      <c r="C171" s="17">
        <v>985440</v>
      </c>
      <c r="D171" s="17"/>
      <c r="E171" s="18">
        <v>7.7333333333333334</v>
      </c>
      <c r="F171" s="18">
        <v>61.41</v>
      </c>
      <c r="G171" s="18">
        <v>88.089999999999989</v>
      </c>
      <c r="H171" s="18">
        <v>97.793333333333337</v>
      </c>
      <c r="I171" s="18"/>
      <c r="J171" s="18">
        <v>9.65</v>
      </c>
      <c r="K171" s="19">
        <v>90159.9</v>
      </c>
      <c r="L171" s="17">
        <v>1119</v>
      </c>
      <c r="M171" s="18">
        <v>82.04</v>
      </c>
      <c r="N171" s="18">
        <v>19.934051140902032</v>
      </c>
      <c r="O171" s="19">
        <v>7513325</v>
      </c>
      <c r="P171" s="18">
        <v>68.443331295800931</v>
      </c>
      <c r="Q171" s="14">
        <v>0</v>
      </c>
    </row>
    <row r="172" spans="1:17" ht="19.05" customHeight="1">
      <c r="A172" s="20" t="s">
        <v>82</v>
      </c>
      <c r="B172" s="21">
        <v>2022</v>
      </c>
      <c r="C172" s="22">
        <v>1147806.666666667</v>
      </c>
      <c r="D172" s="22"/>
      <c r="E172" s="23">
        <v>6.4766666666666666</v>
      </c>
      <c r="F172" s="23">
        <v>80.75</v>
      </c>
      <c r="G172" s="23">
        <v>93.096666666666678</v>
      </c>
      <c r="H172" s="23">
        <v>97.663333333333341</v>
      </c>
      <c r="I172" s="23"/>
      <c r="J172" s="23">
        <v>7.66</v>
      </c>
      <c r="K172" s="24">
        <v>98884.9</v>
      </c>
      <c r="L172" s="22">
        <v>1787</v>
      </c>
      <c r="M172" s="23">
        <v>82.71</v>
      </c>
      <c r="N172" s="23">
        <v>22.01638336357577</v>
      </c>
      <c r="O172" s="24">
        <v>8240408.333333333</v>
      </c>
      <c r="P172" s="23">
        <v>71.17440770626574</v>
      </c>
      <c r="Q172" s="14">
        <v>0</v>
      </c>
    </row>
    <row r="173" spans="1:17" ht="19.05" customHeight="1">
      <c r="A173" s="3" t="s">
        <v>82</v>
      </c>
      <c r="B173" s="16">
        <v>2023</v>
      </c>
      <c r="C173" s="17">
        <v>1417390</v>
      </c>
      <c r="D173" s="17"/>
      <c r="E173" s="18">
        <v>11.266666666666669</v>
      </c>
      <c r="F173" s="18">
        <v>50.38</v>
      </c>
      <c r="G173" s="18">
        <v>90.62</v>
      </c>
      <c r="H173" s="18">
        <v>93.506666666666661</v>
      </c>
      <c r="I173" s="18"/>
      <c r="J173" s="18">
        <v>6.8</v>
      </c>
      <c r="K173" s="19">
        <v>107541.8</v>
      </c>
      <c r="L173" s="17">
        <v>1088.666666666667</v>
      </c>
      <c r="M173" s="18">
        <v>83.39</v>
      </c>
      <c r="N173" s="18">
        <v>19.060872263085219</v>
      </c>
      <c r="O173" s="19">
        <v>8961816.666666666</v>
      </c>
      <c r="P173" s="18">
        <v>69.339325659885489</v>
      </c>
      <c r="Q173" s="13">
        <v>1</v>
      </c>
    </row>
    <row r="174" spans="1:17" ht="19.05" customHeight="1">
      <c r="A174" s="20" t="s">
        <v>82</v>
      </c>
      <c r="B174" s="21">
        <v>2024</v>
      </c>
      <c r="C174" s="22">
        <v>1681456.666666667</v>
      </c>
      <c r="D174" s="22"/>
      <c r="E174" s="23">
        <v>8.913333333333334</v>
      </c>
      <c r="F174" s="23">
        <v>50.33</v>
      </c>
      <c r="G174" s="23">
        <v>88.166666666666671</v>
      </c>
      <c r="H174" s="23">
        <v>93.916666666666686</v>
      </c>
      <c r="I174" s="23"/>
      <c r="J174" s="23">
        <v>6.1</v>
      </c>
      <c r="K174" s="24">
        <v>114721.60000000001</v>
      </c>
      <c r="L174" s="22">
        <v>1690</v>
      </c>
      <c r="M174" s="23">
        <v>84.68</v>
      </c>
      <c r="N174" s="23">
        <v>19.140156179115511</v>
      </c>
      <c r="O174" s="24">
        <v>9560133.333333334</v>
      </c>
      <c r="P174" s="23">
        <v>69.15591823651485</v>
      </c>
      <c r="Q174" s="14">
        <v>0</v>
      </c>
    </row>
    <row r="175" spans="1:17" ht="19.05" customHeight="1">
      <c r="A175" s="3" t="s">
        <v>83</v>
      </c>
      <c r="B175" s="16">
        <v>2020</v>
      </c>
      <c r="C175" s="17">
        <v>1867938.333333333</v>
      </c>
      <c r="D175" s="17"/>
      <c r="E175" s="18">
        <v>11.31</v>
      </c>
      <c r="F175" s="18">
        <v>31.03</v>
      </c>
      <c r="G175" s="18">
        <v>80.66</v>
      </c>
      <c r="H175" s="18">
        <v>95.92</v>
      </c>
      <c r="I175" s="18"/>
      <c r="J175" s="18">
        <v>6.74</v>
      </c>
      <c r="K175" s="19">
        <v>49840.4</v>
      </c>
      <c r="L175" s="17">
        <v>604.83333333333337</v>
      </c>
      <c r="M175" s="18">
        <v>78.040000000000006</v>
      </c>
      <c r="N175" s="18">
        <v>15.659979157809669</v>
      </c>
      <c r="O175" s="19">
        <v>4153366.666666667</v>
      </c>
      <c r="P175" s="18">
        <v>62.641682688219852</v>
      </c>
      <c r="Q175" s="13">
        <v>1</v>
      </c>
    </row>
    <row r="176" spans="1:17" ht="19.05" customHeight="1">
      <c r="A176" s="20" t="s">
        <v>83</v>
      </c>
      <c r="B176" s="21">
        <v>2021</v>
      </c>
      <c r="C176" s="22">
        <v>1871876.666666667</v>
      </c>
      <c r="D176" s="22"/>
      <c r="E176" s="23">
        <v>11.12333333333333</v>
      </c>
      <c r="F176" s="23">
        <v>31.93</v>
      </c>
      <c r="G176" s="23">
        <v>79.633333333333326</v>
      </c>
      <c r="H176" s="23">
        <v>96.523333333333326</v>
      </c>
      <c r="I176" s="23"/>
      <c r="J176" s="23">
        <v>6.87</v>
      </c>
      <c r="K176" s="24">
        <v>51961.599999999999</v>
      </c>
      <c r="L176" s="22">
        <v>636</v>
      </c>
      <c r="M176" s="23">
        <v>78.430000000000007</v>
      </c>
      <c r="N176" s="23">
        <v>15.912916592119799</v>
      </c>
      <c r="O176" s="24">
        <v>4330133.333333333</v>
      </c>
      <c r="P176" s="23">
        <v>62.60642304251683</v>
      </c>
      <c r="Q176" s="13">
        <v>1</v>
      </c>
    </row>
    <row r="177" spans="1:17" ht="19.05" customHeight="1">
      <c r="A177" s="3" t="s">
        <v>83</v>
      </c>
      <c r="B177" s="16">
        <v>2022</v>
      </c>
      <c r="C177" s="17">
        <v>1412366.666666667</v>
      </c>
      <c r="D177" s="17"/>
      <c r="E177" s="18">
        <v>12.36333333333334</v>
      </c>
      <c r="F177" s="18">
        <v>81.96</v>
      </c>
      <c r="G177" s="18">
        <v>83.63</v>
      </c>
      <c r="H177" s="18">
        <v>96.436666666666682</v>
      </c>
      <c r="I177" s="18"/>
      <c r="J177" s="18">
        <v>5.05</v>
      </c>
      <c r="K177" s="19">
        <v>56648.2</v>
      </c>
      <c r="L177" s="17">
        <v>569</v>
      </c>
      <c r="M177" s="18">
        <v>79.319999999999993</v>
      </c>
      <c r="N177" s="18">
        <v>16.881673199405061</v>
      </c>
      <c r="O177" s="19">
        <v>4720683.333333333</v>
      </c>
      <c r="P177" s="18">
        <v>64.608541476648483</v>
      </c>
      <c r="Q177" s="13">
        <v>1</v>
      </c>
    </row>
    <row r="178" spans="1:17" ht="19.05" customHeight="1">
      <c r="A178" s="20" t="s">
        <v>83</v>
      </c>
      <c r="B178" s="21">
        <v>2023</v>
      </c>
      <c r="C178" s="22">
        <v>1557666.666666667</v>
      </c>
      <c r="D178" s="22"/>
      <c r="E178" s="23">
        <v>10.01333333333333</v>
      </c>
      <c r="F178" s="23">
        <v>24.82</v>
      </c>
      <c r="G178" s="23">
        <v>79.043333333333337</v>
      </c>
      <c r="H178" s="23">
        <v>96.483333333333363</v>
      </c>
      <c r="I178" s="23"/>
      <c r="J178" s="23">
        <v>4.7300000000000004</v>
      </c>
      <c r="K178" s="24">
        <v>59061.3</v>
      </c>
      <c r="L178" s="22">
        <v>525.66666666666663</v>
      </c>
      <c r="M178" s="23">
        <v>80.069999999999993</v>
      </c>
      <c r="N178" s="23">
        <v>17.39281104415733</v>
      </c>
      <c r="O178" s="24">
        <v>4921775</v>
      </c>
      <c r="P178" s="23">
        <v>63.768451251149543</v>
      </c>
      <c r="Q178" s="13">
        <v>1</v>
      </c>
    </row>
    <row r="179" spans="1:17" ht="19.05" customHeight="1">
      <c r="A179" s="3" t="s">
        <v>83</v>
      </c>
      <c r="B179" s="16">
        <v>2024</v>
      </c>
      <c r="C179" s="17">
        <v>1416545</v>
      </c>
      <c r="D179" s="17"/>
      <c r="E179" s="18">
        <v>11.93333333333333</v>
      </c>
      <c r="F179" s="18">
        <v>29.55</v>
      </c>
      <c r="G179" s="18">
        <v>83.339999999999989</v>
      </c>
      <c r="H179" s="18">
        <v>96.90666666666668</v>
      </c>
      <c r="I179" s="18"/>
      <c r="J179" s="18">
        <v>3.76</v>
      </c>
      <c r="K179" s="19">
        <v>62683.9</v>
      </c>
      <c r="L179" s="17">
        <v>558.5</v>
      </c>
      <c r="M179" s="18">
        <v>81.760000000000005</v>
      </c>
      <c r="N179" s="18">
        <v>17.53698428975315</v>
      </c>
      <c r="O179" s="19">
        <v>5223658.333333333</v>
      </c>
      <c r="P179" s="18">
        <v>65.799992749116839</v>
      </c>
      <c r="Q179" s="13">
        <v>1</v>
      </c>
    </row>
    <row r="180" spans="1:17" ht="19.05" customHeight="1">
      <c r="A180" s="20" t="s">
        <v>84</v>
      </c>
      <c r="B180" s="21">
        <v>2020</v>
      </c>
      <c r="C180" s="22">
        <v>1501876.666666667</v>
      </c>
      <c r="D180" s="22"/>
      <c r="E180" s="23">
        <v>13.133333333333329</v>
      </c>
      <c r="F180" s="23">
        <v>22.4</v>
      </c>
      <c r="G180" s="23">
        <v>65.956666666666663</v>
      </c>
      <c r="H180" s="23">
        <v>96.873333333333321</v>
      </c>
      <c r="I180" s="23"/>
      <c r="J180" s="23">
        <v>6.33</v>
      </c>
      <c r="K180" s="24">
        <v>38774</v>
      </c>
      <c r="L180" s="22">
        <v>614.33333333333337</v>
      </c>
      <c r="M180" s="23">
        <v>75.260000000000005</v>
      </c>
      <c r="N180" s="23">
        <v>17.11102809639317</v>
      </c>
      <c r="O180" s="24">
        <v>3231166.666666667</v>
      </c>
      <c r="P180" s="23">
        <v>57.788397582950687</v>
      </c>
      <c r="Q180" s="13">
        <v>1</v>
      </c>
    </row>
    <row r="181" spans="1:17" ht="19.05" customHeight="1">
      <c r="A181" s="3" t="s">
        <v>84</v>
      </c>
      <c r="B181" s="16">
        <v>2021</v>
      </c>
      <c r="C181" s="17">
        <v>1703820</v>
      </c>
      <c r="D181" s="17"/>
      <c r="E181" s="18">
        <v>8.75</v>
      </c>
      <c r="F181" s="18">
        <v>23.28</v>
      </c>
      <c r="G181" s="18">
        <v>86.02</v>
      </c>
      <c r="H181" s="18">
        <v>96.53333333333336</v>
      </c>
      <c r="I181" s="18"/>
      <c r="J181" s="18">
        <v>6.23</v>
      </c>
      <c r="K181" s="19">
        <v>40372</v>
      </c>
      <c r="L181" s="17">
        <v>977.5</v>
      </c>
      <c r="M181" s="18">
        <v>75.62</v>
      </c>
      <c r="N181" s="18">
        <v>16.792329606381792</v>
      </c>
      <c r="O181" s="19">
        <v>3364333.333333333</v>
      </c>
      <c r="P181" s="18">
        <v>63.804305972176223</v>
      </c>
      <c r="Q181" s="14">
        <v>0</v>
      </c>
    </row>
    <row r="182" spans="1:17" ht="19.05" customHeight="1">
      <c r="A182" s="20" t="s">
        <v>84</v>
      </c>
      <c r="B182" s="21">
        <v>2022</v>
      </c>
      <c r="C182" s="22">
        <v>1632193.333333333</v>
      </c>
      <c r="D182" s="22"/>
      <c r="E182" s="23">
        <v>7.6566666666666672</v>
      </c>
      <c r="F182" s="23">
        <v>78.69</v>
      </c>
      <c r="G182" s="23">
        <v>82.999999999999986</v>
      </c>
      <c r="H182" s="23">
        <v>96.26666666666668</v>
      </c>
      <c r="I182" s="23"/>
      <c r="J182" s="23">
        <v>6.18</v>
      </c>
      <c r="K182" s="24">
        <v>44302.5</v>
      </c>
      <c r="L182" s="22">
        <v>901.66666666666663</v>
      </c>
      <c r="M182" s="23">
        <v>76.540000000000006</v>
      </c>
      <c r="N182" s="23">
        <v>18.656325745347491</v>
      </c>
      <c r="O182" s="24">
        <v>3691875</v>
      </c>
      <c r="P182" s="23">
        <v>64.126611882468069</v>
      </c>
      <c r="Q182" s="14">
        <v>0</v>
      </c>
    </row>
    <row r="183" spans="1:17" ht="19.05" customHeight="1">
      <c r="A183" s="3" t="s">
        <v>84</v>
      </c>
      <c r="B183" s="16">
        <v>2023</v>
      </c>
      <c r="C183" s="17">
        <v>2037971.666666667</v>
      </c>
      <c r="D183" s="17"/>
      <c r="E183" s="18">
        <v>8.5633333333333344</v>
      </c>
      <c r="F183" s="18">
        <v>22.78</v>
      </c>
      <c r="G183" s="18">
        <v>80.13000000000001</v>
      </c>
      <c r="H183" s="18">
        <v>93.933333333333323</v>
      </c>
      <c r="I183" s="18"/>
      <c r="J183" s="18">
        <v>5.64</v>
      </c>
      <c r="K183" s="19">
        <v>48057.8</v>
      </c>
      <c r="L183" s="17">
        <v>485.5</v>
      </c>
      <c r="M183" s="18">
        <v>77.17</v>
      </c>
      <c r="N183" s="18">
        <v>16.055026275715878</v>
      </c>
      <c r="O183" s="19">
        <v>4004816.666666667</v>
      </c>
      <c r="P183" s="18">
        <v>62.317012127253491</v>
      </c>
      <c r="Q183" s="14">
        <v>0</v>
      </c>
    </row>
    <row r="184" spans="1:17" ht="19.05" customHeight="1">
      <c r="A184" s="20" t="s">
        <v>84</v>
      </c>
      <c r="B184" s="21">
        <v>2024</v>
      </c>
      <c r="C184" s="22">
        <v>1867938.333333333</v>
      </c>
      <c r="D184" s="22"/>
      <c r="E184" s="23">
        <v>11.31</v>
      </c>
      <c r="F184" s="23">
        <v>19.989999999999998</v>
      </c>
      <c r="G184" s="23">
        <v>80.66</v>
      </c>
      <c r="H184" s="23">
        <v>95.92</v>
      </c>
      <c r="I184" s="23"/>
      <c r="J184" s="23">
        <v>4.63</v>
      </c>
      <c r="K184" s="24">
        <v>51087.4</v>
      </c>
      <c r="L184" s="22">
        <v>604.83333333333337</v>
      </c>
      <c r="M184" s="23">
        <v>78.900000000000006</v>
      </c>
      <c r="N184" s="23">
        <v>20.053379451601149</v>
      </c>
      <c r="O184" s="24">
        <v>4257283.333333333</v>
      </c>
      <c r="P184" s="23">
        <v>65.013405900738988</v>
      </c>
      <c r="Q184" s="13">
        <v>1</v>
      </c>
    </row>
    <row r="185" spans="1:17" ht="19.05" customHeight="1">
      <c r="A185" s="3" t="s">
        <v>85</v>
      </c>
      <c r="B185" s="16">
        <v>2020</v>
      </c>
      <c r="C185" s="17">
        <v>1833113.333333333</v>
      </c>
      <c r="D185" s="17"/>
      <c r="E185" s="18">
        <v>8.1100000000000012</v>
      </c>
      <c r="F185" s="18">
        <v>24.87</v>
      </c>
      <c r="G185" s="18">
        <v>80.946666666666658</v>
      </c>
      <c r="H185" s="18">
        <v>94.676666666666662</v>
      </c>
      <c r="I185" s="18"/>
      <c r="J185" s="18">
        <v>6.7</v>
      </c>
      <c r="K185" s="19">
        <v>46301.599999999999</v>
      </c>
      <c r="L185" s="17">
        <v>678</v>
      </c>
      <c r="M185" s="18">
        <v>73.27</v>
      </c>
      <c r="N185" s="18">
        <v>17.431107054628129</v>
      </c>
      <c r="O185" s="19">
        <v>3858466.666666667</v>
      </c>
      <c r="P185" s="18">
        <v>61.637126332905289</v>
      </c>
      <c r="Q185" s="14">
        <v>0</v>
      </c>
    </row>
    <row r="186" spans="1:17" ht="19.05" customHeight="1">
      <c r="A186" s="20" t="s">
        <v>85</v>
      </c>
      <c r="B186" s="21">
        <v>2021</v>
      </c>
      <c r="C186" s="22">
        <v>2037971.666666667</v>
      </c>
      <c r="D186" s="22"/>
      <c r="E186" s="23">
        <v>8.5633333333333344</v>
      </c>
      <c r="F186" s="23">
        <v>25.66</v>
      </c>
      <c r="G186" s="23">
        <v>80.13000000000001</v>
      </c>
      <c r="H186" s="23">
        <v>93.933333333333323</v>
      </c>
      <c r="I186" s="23"/>
      <c r="J186" s="23">
        <v>6.55</v>
      </c>
      <c r="K186" s="24">
        <v>48406.1</v>
      </c>
      <c r="L186" s="22">
        <v>485.5</v>
      </c>
      <c r="M186" s="23">
        <v>73.66</v>
      </c>
      <c r="N186" s="23">
        <v>15.3620788721308</v>
      </c>
      <c r="O186" s="24">
        <v>4033841.666666667</v>
      </c>
      <c r="P186" s="23">
        <v>60.593190248675761</v>
      </c>
      <c r="Q186" s="14">
        <v>0</v>
      </c>
    </row>
    <row r="187" spans="1:17" ht="19.05" customHeight="1">
      <c r="A187" s="3" t="s">
        <v>85</v>
      </c>
      <c r="B187" s="16">
        <v>2022</v>
      </c>
      <c r="C187" s="17">
        <v>1410443.333333333</v>
      </c>
      <c r="D187" s="17"/>
      <c r="E187" s="18">
        <v>12.36333333333334</v>
      </c>
      <c r="F187" s="18">
        <v>81.93</v>
      </c>
      <c r="G187" s="18">
        <v>82.04</v>
      </c>
      <c r="H187" s="18">
        <v>96.83</v>
      </c>
      <c r="I187" s="18"/>
      <c r="J187" s="18">
        <v>4.57</v>
      </c>
      <c r="K187" s="19">
        <v>52920.9</v>
      </c>
      <c r="L187" s="17">
        <v>575.66666666666663</v>
      </c>
      <c r="M187" s="18">
        <v>74.56</v>
      </c>
      <c r="N187" s="18">
        <v>15.53294761191844</v>
      </c>
      <c r="O187" s="19">
        <v>4410075</v>
      </c>
      <c r="P187" s="18">
        <v>61.605052743962361</v>
      </c>
      <c r="Q187" s="13">
        <v>1</v>
      </c>
    </row>
    <row r="188" spans="1:17" ht="19.05" customHeight="1">
      <c r="A188" s="20" t="s">
        <v>85</v>
      </c>
      <c r="B188" s="21">
        <v>2023</v>
      </c>
      <c r="C188" s="22">
        <v>1412366.666666667</v>
      </c>
      <c r="D188" s="22"/>
      <c r="E188" s="23">
        <v>12.36333333333334</v>
      </c>
      <c r="F188" s="23">
        <v>22.55</v>
      </c>
      <c r="G188" s="23">
        <v>83.63</v>
      </c>
      <c r="H188" s="23">
        <v>96.436666666666682</v>
      </c>
      <c r="I188" s="23"/>
      <c r="J188" s="23">
        <v>4.53</v>
      </c>
      <c r="K188" s="24">
        <v>57885.1</v>
      </c>
      <c r="L188" s="22">
        <v>569</v>
      </c>
      <c r="M188" s="23">
        <v>75.430000000000007</v>
      </c>
      <c r="N188" s="23">
        <v>17.607161644747439</v>
      </c>
      <c r="O188" s="24">
        <v>4823758.333333333</v>
      </c>
      <c r="P188" s="23">
        <v>63.387382297575741</v>
      </c>
      <c r="Q188" s="13">
        <v>1</v>
      </c>
    </row>
    <row r="189" spans="1:17" ht="19.05" customHeight="1">
      <c r="A189" s="3" t="s">
        <v>85</v>
      </c>
      <c r="B189" s="16">
        <v>2024</v>
      </c>
      <c r="C189" s="17">
        <v>1416545</v>
      </c>
      <c r="D189" s="17"/>
      <c r="E189" s="18">
        <v>11.93333333333333</v>
      </c>
      <c r="F189" s="18">
        <v>25.61</v>
      </c>
      <c r="G189" s="18">
        <v>83.339999999999989</v>
      </c>
      <c r="H189" s="18">
        <v>96.90666666666668</v>
      </c>
      <c r="I189" s="18"/>
      <c r="J189" s="18">
        <v>4.4400000000000004</v>
      </c>
      <c r="K189" s="19">
        <v>61613.599999999999</v>
      </c>
      <c r="L189" s="17">
        <v>558.5</v>
      </c>
      <c r="M189" s="18">
        <v>77.790000000000006</v>
      </c>
      <c r="N189" s="18">
        <v>16.89374496075569</v>
      </c>
      <c r="O189" s="19">
        <v>5134466.666666667</v>
      </c>
      <c r="P189" s="18">
        <v>63.915113058810313</v>
      </c>
      <c r="Q189" s="13">
        <v>1</v>
      </c>
    </row>
    <row r="190" spans="1:17" ht="19.05" customHeight="1">
      <c r="A190" s="20" t="s">
        <v>86</v>
      </c>
      <c r="B190" s="21">
        <v>2020</v>
      </c>
      <c r="C190" s="22">
        <v>2874300</v>
      </c>
      <c r="D190" s="22"/>
      <c r="E190" s="23">
        <v>5.23</v>
      </c>
      <c r="F190" s="23">
        <v>48.93</v>
      </c>
      <c r="G190" s="23">
        <v>91.84</v>
      </c>
      <c r="H190" s="23">
        <v>98.74</v>
      </c>
      <c r="I190" s="23"/>
      <c r="J190" s="23">
        <v>9.7899999999999991</v>
      </c>
      <c r="K190" s="24">
        <v>193009.9</v>
      </c>
      <c r="L190" s="22">
        <v>8200</v>
      </c>
      <c r="M190" s="23">
        <v>82.23</v>
      </c>
      <c r="N190" s="23">
        <v>24.097309817583941</v>
      </c>
      <c r="O190" s="24">
        <v>16084158.33333333</v>
      </c>
      <c r="P190" s="23">
        <v>71.565835300423359</v>
      </c>
      <c r="Q190" s="14">
        <v>0</v>
      </c>
    </row>
    <row r="191" spans="1:17" ht="19.05" customHeight="1">
      <c r="A191" s="3" t="s">
        <v>86</v>
      </c>
      <c r="B191" s="16">
        <v>2021</v>
      </c>
      <c r="C191" s="17">
        <v>2880760</v>
      </c>
      <c r="D191" s="17">
        <v>152.49</v>
      </c>
      <c r="E191" s="18">
        <v>5.23</v>
      </c>
      <c r="F191" s="18">
        <v>48.41</v>
      </c>
      <c r="G191" s="18">
        <v>95.2</v>
      </c>
      <c r="H191" s="18">
        <v>98.06</v>
      </c>
      <c r="I191" s="18"/>
      <c r="J191" s="18">
        <v>9.68</v>
      </c>
      <c r="K191" s="19">
        <v>204410.6</v>
      </c>
      <c r="L191" s="17">
        <v>8397.5</v>
      </c>
      <c r="M191" s="18">
        <v>82.31</v>
      </c>
      <c r="N191" s="18">
        <v>23.980427322939128</v>
      </c>
      <c r="O191" s="19">
        <v>17034216.666666672</v>
      </c>
      <c r="P191" s="18">
        <v>72.551889533664209</v>
      </c>
      <c r="Q191" s="14">
        <v>0</v>
      </c>
    </row>
    <row r="192" spans="1:17" ht="19.05" customHeight="1">
      <c r="A192" s="20" t="s">
        <v>86</v>
      </c>
      <c r="B192" s="21">
        <v>2022</v>
      </c>
      <c r="C192" s="22">
        <v>2887220</v>
      </c>
      <c r="D192" s="22">
        <v>138.21</v>
      </c>
      <c r="E192" s="23">
        <v>4.72</v>
      </c>
      <c r="F192" s="23">
        <v>63</v>
      </c>
      <c r="G192" s="23">
        <v>96.41</v>
      </c>
      <c r="H192" s="23">
        <v>95.66</v>
      </c>
      <c r="I192" s="23"/>
      <c r="J192" s="23">
        <v>7.62</v>
      </c>
      <c r="K192" s="24">
        <v>226080.4</v>
      </c>
      <c r="L192" s="22">
        <v>8595</v>
      </c>
      <c r="M192" s="23">
        <v>82.74</v>
      </c>
      <c r="N192" s="23">
        <v>23.60494332419708</v>
      </c>
      <c r="O192" s="24">
        <v>18840033.333333328</v>
      </c>
      <c r="P192" s="23">
        <v>72.913589226552489</v>
      </c>
      <c r="Q192" s="14">
        <v>0</v>
      </c>
    </row>
    <row r="193" spans="1:17" ht="19.05" customHeight="1">
      <c r="A193" s="3" t="s">
        <v>86</v>
      </c>
      <c r="B193" s="16">
        <v>2023</v>
      </c>
      <c r="C193" s="17">
        <v>2887220</v>
      </c>
      <c r="D193" s="17"/>
      <c r="E193" s="18">
        <v>4.72</v>
      </c>
      <c r="F193" s="18">
        <v>40.33</v>
      </c>
      <c r="G193" s="18">
        <v>96.41</v>
      </c>
      <c r="H193" s="18">
        <v>95.66</v>
      </c>
      <c r="I193" s="18"/>
      <c r="J193" s="18">
        <v>6.76</v>
      </c>
      <c r="K193" s="19">
        <v>245684.8</v>
      </c>
      <c r="L193" s="17">
        <v>8595</v>
      </c>
      <c r="M193" s="18">
        <v>83.45</v>
      </c>
      <c r="N193" s="18">
        <v>22.884082371032619</v>
      </c>
      <c r="O193" s="19">
        <v>20473733.333333328</v>
      </c>
      <c r="P193" s="18">
        <v>72.864884171245819</v>
      </c>
      <c r="Q193" s="14">
        <v>0</v>
      </c>
    </row>
    <row r="194" spans="1:17" ht="19.05" customHeight="1">
      <c r="A194" s="20" t="s">
        <v>86</v>
      </c>
      <c r="B194" s="21">
        <v>2024</v>
      </c>
      <c r="C194" s="22">
        <v>2887220</v>
      </c>
      <c r="D194" s="22"/>
      <c r="E194" s="23">
        <v>4.72</v>
      </c>
      <c r="F194" s="23">
        <v>42.46</v>
      </c>
      <c r="G194" s="23">
        <v>96.41</v>
      </c>
      <c r="H194" s="23">
        <v>95.66</v>
      </c>
      <c r="I194" s="23"/>
      <c r="J194" s="23">
        <v>4.91</v>
      </c>
      <c r="K194" s="24">
        <v>264371.90000000002</v>
      </c>
      <c r="L194" s="22">
        <v>8595</v>
      </c>
      <c r="M194" s="23">
        <v>84.69</v>
      </c>
      <c r="N194" s="23">
        <v>22.265686689121331</v>
      </c>
      <c r="O194" s="24">
        <v>22030991.666666672</v>
      </c>
      <c r="P194" s="23">
        <v>73.075470779594454</v>
      </c>
      <c r="Q194" s="14">
        <v>0</v>
      </c>
    </row>
  </sheetData>
  <mergeCells count="2">
    <mergeCell ref="A2:Q2"/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9"/>
  <sheetViews>
    <sheetView workbookViewId="0">
      <selection sqref="A1:G1"/>
    </sheetView>
  </sheetViews>
  <sheetFormatPr defaultRowHeight="14.4"/>
  <cols>
    <col min="1" max="1" width="40" customWidth="1"/>
    <col min="2" max="2" width="15" customWidth="1"/>
    <col min="3" max="3" width="17" customWidth="1"/>
    <col min="4" max="4" width="14" customWidth="1"/>
    <col min="5" max="5" width="16" customWidth="1"/>
    <col min="6" max="7" width="23" customWidth="1"/>
  </cols>
  <sheetData>
    <row r="1" spans="1:7" ht="25.05" customHeight="1">
      <c r="A1" s="54" t="s">
        <v>87</v>
      </c>
      <c r="B1" s="29"/>
      <c r="C1" s="29"/>
      <c r="D1" s="29"/>
      <c r="E1" s="29"/>
      <c r="F1" s="29"/>
      <c r="G1" s="29"/>
    </row>
    <row r="2" spans="1:7" ht="18" customHeight="1">
      <c r="A2" s="41" t="s">
        <v>88</v>
      </c>
      <c r="B2" s="29"/>
      <c r="C2" s="29"/>
      <c r="D2" s="29"/>
      <c r="E2" s="29"/>
      <c r="F2" s="29"/>
      <c r="G2" s="29"/>
    </row>
    <row r="4" spans="1:7" ht="17.399999999999999">
      <c r="A4" s="1" t="s">
        <v>89</v>
      </c>
    </row>
    <row r="5" spans="1:7" ht="24" customHeight="1">
      <c r="A5" s="2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</row>
    <row r="6" spans="1:7" ht="19.95" customHeight="1">
      <c r="A6" s="3" t="s">
        <v>20</v>
      </c>
      <c r="B6" s="4">
        <v>83.33</v>
      </c>
      <c r="C6" s="4">
        <v>92.86</v>
      </c>
      <c r="D6" s="4">
        <v>81.25</v>
      </c>
      <c r="E6" s="4">
        <v>86.67</v>
      </c>
      <c r="F6" s="4">
        <v>12.5</v>
      </c>
      <c r="G6" s="4">
        <v>18.75</v>
      </c>
    </row>
    <row r="7" spans="1:7" ht="19.95" customHeight="1">
      <c r="A7" s="5" t="s">
        <v>21</v>
      </c>
      <c r="B7" s="6">
        <v>100</v>
      </c>
      <c r="C7" s="6">
        <v>100</v>
      </c>
      <c r="D7" s="6">
        <v>100</v>
      </c>
      <c r="E7" s="6">
        <v>100</v>
      </c>
      <c r="F7" s="6">
        <v>0</v>
      </c>
      <c r="G7" s="6">
        <v>0</v>
      </c>
    </row>
    <row r="10" spans="1:7" ht="17.399999999999999">
      <c r="A10" s="1" t="s">
        <v>90</v>
      </c>
    </row>
    <row r="12" spans="1:7">
      <c r="A12" s="15" t="s">
        <v>91</v>
      </c>
    </row>
    <row r="13" spans="1:7" ht="28.05" customHeight="1">
      <c r="A13" s="55" t="s">
        <v>92</v>
      </c>
      <c r="B13" s="29"/>
      <c r="C13" s="29"/>
      <c r="D13" s="29"/>
      <c r="E13" s="29"/>
      <c r="F13" s="29"/>
      <c r="G13" s="29"/>
    </row>
    <row r="15" spans="1:7">
      <c r="A15" s="15" t="s">
        <v>93</v>
      </c>
    </row>
    <row r="16" spans="1:7" ht="28.05" customHeight="1">
      <c r="A16" s="55" t="s">
        <v>94</v>
      </c>
      <c r="B16" s="29"/>
      <c r="C16" s="29"/>
      <c r="D16" s="29"/>
      <c r="E16" s="29"/>
      <c r="F16" s="29"/>
      <c r="G16" s="29"/>
    </row>
    <row r="18" spans="1:7">
      <c r="A18" s="15" t="s">
        <v>95</v>
      </c>
    </row>
    <row r="19" spans="1:7" ht="28.05" customHeight="1">
      <c r="A19" s="55" t="s">
        <v>96</v>
      </c>
      <c r="B19" s="29"/>
      <c r="C19" s="29"/>
      <c r="D19" s="29"/>
      <c r="E19" s="29"/>
      <c r="F19" s="29"/>
      <c r="G19" s="29"/>
    </row>
  </sheetData>
  <mergeCells count="5">
    <mergeCell ref="A13:G13"/>
    <mergeCell ref="A1:G1"/>
    <mergeCell ref="A16:G16"/>
    <mergeCell ref="A2:G2"/>
    <mergeCell ref="A19:G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04"/>
  <sheetViews>
    <sheetView tabSelected="1" workbookViewId="0">
      <selection sqref="A1:F1"/>
    </sheetView>
  </sheetViews>
  <sheetFormatPr defaultRowHeight="14.4"/>
  <cols>
    <col min="1" max="1" width="40" customWidth="1"/>
    <col min="2" max="2" width="13" customWidth="1"/>
    <col min="3" max="3" width="21" customWidth="1"/>
    <col min="4" max="4" width="26" customWidth="1"/>
    <col min="5" max="5" width="25" customWidth="1"/>
    <col min="6" max="6" width="23" customWidth="1"/>
  </cols>
  <sheetData>
    <row r="1" spans="1:6" ht="25.05" customHeight="1">
      <c r="A1" s="54" t="s">
        <v>97</v>
      </c>
      <c r="B1" s="29"/>
      <c r="C1" s="29"/>
      <c r="D1" s="29"/>
      <c r="E1" s="29"/>
      <c r="F1" s="29"/>
    </row>
    <row r="2" spans="1:6" ht="18" customHeight="1">
      <c r="A2" s="41" t="s">
        <v>98</v>
      </c>
      <c r="B2" s="29"/>
      <c r="C2" s="29"/>
      <c r="D2" s="29"/>
      <c r="E2" s="29"/>
      <c r="F2" s="29"/>
    </row>
    <row r="4" spans="1:6" ht="24" customHeight="1">
      <c r="A4" s="2" t="s">
        <v>99</v>
      </c>
      <c r="B4" s="2" t="s">
        <v>58</v>
      </c>
      <c r="C4" s="2" t="s">
        <v>100</v>
      </c>
      <c r="D4" s="2" t="s">
        <v>101</v>
      </c>
      <c r="E4" s="2" t="s">
        <v>102</v>
      </c>
      <c r="F4" s="2" t="s">
        <v>103</v>
      </c>
    </row>
    <row r="5" spans="1:6" ht="18" customHeight="1">
      <c r="A5" s="19">
        <v>1335586.81</v>
      </c>
      <c r="B5" s="18">
        <v>16.260000000000002</v>
      </c>
      <c r="C5" s="25">
        <v>2</v>
      </c>
      <c r="D5" s="18">
        <v>3</v>
      </c>
      <c r="E5" s="18">
        <v>1</v>
      </c>
      <c r="F5" s="18">
        <v>49.52</v>
      </c>
    </row>
    <row r="6" spans="1:6" ht="18" customHeight="1">
      <c r="A6" s="24">
        <v>912455.17</v>
      </c>
      <c r="B6" s="23">
        <v>70.459999999999994</v>
      </c>
      <c r="C6" s="26">
        <v>2</v>
      </c>
      <c r="D6" s="23">
        <v>5</v>
      </c>
      <c r="E6" s="23">
        <v>1</v>
      </c>
      <c r="F6" s="23">
        <v>38.18</v>
      </c>
    </row>
    <row r="7" spans="1:6" ht="18" customHeight="1">
      <c r="A7" s="19">
        <v>1462219.35</v>
      </c>
      <c r="B7" s="18">
        <v>54.77</v>
      </c>
      <c r="C7" s="25">
        <v>2</v>
      </c>
      <c r="D7" s="18">
        <v>4</v>
      </c>
      <c r="E7" s="18">
        <v>1</v>
      </c>
      <c r="F7" s="18">
        <v>7.16</v>
      </c>
    </row>
    <row r="8" spans="1:6" ht="18" customHeight="1">
      <c r="A8" s="24">
        <v>988931.16</v>
      </c>
      <c r="B8" s="23">
        <v>63.06</v>
      </c>
      <c r="C8" s="26">
        <v>5</v>
      </c>
      <c r="D8" s="23">
        <v>3</v>
      </c>
      <c r="E8" s="23">
        <v>1</v>
      </c>
      <c r="F8" s="23">
        <v>24.97</v>
      </c>
    </row>
    <row r="9" spans="1:6" ht="18" customHeight="1">
      <c r="A9" s="19">
        <v>344576.04</v>
      </c>
      <c r="B9" s="18">
        <v>71.53</v>
      </c>
      <c r="C9" s="25">
        <v>5</v>
      </c>
      <c r="D9" s="18">
        <v>3</v>
      </c>
      <c r="E9" s="18">
        <v>1</v>
      </c>
      <c r="F9" s="18">
        <v>10.76</v>
      </c>
    </row>
    <row r="10" spans="1:6" ht="18" customHeight="1">
      <c r="A10" s="24">
        <v>344579.43</v>
      </c>
      <c r="B10" s="23">
        <v>67.42</v>
      </c>
      <c r="C10" s="26">
        <v>5</v>
      </c>
      <c r="D10" s="23">
        <v>4</v>
      </c>
      <c r="E10" s="23">
        <v>1</v>
      </c>
      <c r="F10" s="23">
        <v>14.95</v>
      </c>
    </row>
    <row r="11" spans="1:6" ht="18" customHeight="1">
      <c r="A11" s="19">
        <v>730597.18</v>
      </c>
      <c r="B11" s="18">
        <v>18.100000000000001</v>
      </c>
      <c r="C11" s="25">
        <v>7</v>
      </c>
      <c r="D11" s="18">
        <v>4</v>
      </c>
      <c r="E11" s="18">
        <v>0</v>
      </c>
      <c r="F11" s="18">
        <v>30.27</v>
      </c>
    </row>
    <row r="12" spans="1:6" ht="18" customHeight="1">
      <c r="A12" s="24">
        <v>785571.28</v>
      </c>
      <c r="B12" s="23">
        <v>76.52</v>
      </c>
      <c r="C12" s="26">
        <v>4</v>
      </c>
      <c r="D12" s="23">
        <v>2</v>
      </c>
      <c r="E12" s="23">
        <v>0</v>
      </c>
      <c r="F12" s="23">
        <v>29.99</v>
      </c>
    </row>
    <row r="13" spans="1:6" ht="18" customHeight="1">
      <c r="A13" s="19">
        <v>299202.96999999997</v>
      </c>
      <c r="B13" s="18">
        <v>61.85</v>
      </c>
      <c r="C13" s="25">
        <v>5</v>
      </c>
      <c r="D13" s="18">
        <v>3</v>
      </c>
      <c r="E13" s="18">
        <v>0</v>
      </c>
      <c r="F13" s="18">
        <v>43.6</v>
      </c>
    </row>
    <row r="14" spans="1:6" ht="18" customHeight="1">
      <c r="A14" s="24">
        <v>549134.18999999994</v>
      </c>
      <c r="B14" s="23">
        <v>70.760000000000005</v>
      </c>
      <c r="C14" s="26">
        <v>5</v>
      </c>
      <c r="D14" s="23">
        <v>1</v>
      </c>
      <c r="E14" s="23">
        <v>1</v>
      </c>
      <c r="F14" s="23">
        <v>8.31</v>
      </c>
    </row>
    <row r="15" spans="1:6" ht="18" customHeight="1">
      <c r="A15" s="19">
        <v>750730.64</v>
      </c>
      <c r="B15" s="18">
        <v>32.229999999999997</v>
      </c>
      <c r="C15" s="25">
        <v>2</v>
      </c>
      <c r="D15" s="18">
        <v>3</v>
      </c>
      <c r="E15" s="18">
        <v>0</v>
      </c>
      <c r="F15" s="18">
        <v>24.92</v>
      </c>
    </row>
    <row r="16" spans="1:6" ht="18" customHeight="1">
      <c r="A16" s="24">
        <v>499793.28</v>
      </c>
      <c r="B16" s="23">
        <v>28.82</v>
      </c>
      <c r="C16" s="26">
        <v>3</v>
      </c>
      <c r="D16" s="23">
        <v>5</v>
      </c>
      <c r="E16" s="23">
        <v>0</v>
      </c>
      <c r="F16" s="23">
        <v>29.98</v>
      </c>
    </row>
    <row r="17" spans="1:6" ht="18" customHeight="1">
      <c r="A17" s="19">
        <v>1146277.3700000001</v>
      </c>
      <c r="B17" s="18">
        <v>80.22</v>
      </c>
      <c r="C17" s="25">
        <v>2</v>
      </c>
      <c r="D17" s="18">
        <v>2</v>
      </c>
      <c r="E17" s="18">
        <v>0</v>
      </c>
      <c r="F17" s="18">
        <v>46.53</v>
      </c>
    </row>
    <row r="18" spans="1:6" ht="18" customHeight="1">
      <c r="A18" s="24">
        <v>209697.14</v>
      </c>
      <c r="B18" s="23">
        <v>43.18</v>
      </c>
      <c r="C18" s="26">
        <v>3</v>
      </c>
      <c r="D18" s="23">
        <v>2</v>
      </c>
      <c r="E18" s="23">
        <v>1</v>
      </c>
      <c r="F18" s="23">
        <v>25.87</v>
      </c>
    </row>
    <row r="19" spans="1:6" ht="18" customHeight="1">
      <c r="A19" s="19">
        <v>352181.56</v>
      </c>
      <c r="B19" s="18">
        <v>58.9</v>
      </c>
      <c r="C19" s="25">
        <v>2</v>
      </c>
      <c r="D19" s="18">
        <v>1</v>
      </c>
      <c r="E19" s="18">
        <v>1</v>
      </c>
      <c r="F19" s="18">
        <v>17.100000000000001</v>
      </c>
    </row>
    <row r="20" spans="1:6" ht="18" customHeight="1">
      <c r="A20" s="24">
        <v>157220.24</v>
      </c>
      <c r="B20" s="23">
        <v>56.89</v>
      </c>
      <c r="C20" s="26">
        <v>9</v>
      </c>
      <c r="D20" s="23">
        <v>2</v>
      </c>
      <c r="E20" s="23">
        <v>1</v>
      </c>
      <c r="F20" s="23">
        <v>14.68</v>
      </c>
    </row>
    <row r="21" spans="1:6" ht="18" customHeight="1">
      <c r="A21" s="19">
        <v>359938.71</v>
      </c>
      <c r="B21" s="18">
        <v>59.74</v>
      </c>
      <c r="C21" s="25">
        <v>3</v>
      </c>
      <c r="D21" s="18">
        <v>2</v>
      </c>
      <c r="E21" s="18">
        <v>1</v>
      </c>
      <c r="F21" s="18">
        <v>10.88</v>
      </c>
    </row>
    <row r="22" spans="1:6" ht="18" customHeight="1">
      <c r="A22" s="24">
        <v>798057.65</v>
      </c>
      <c r="B22" s="23">
        <v>15.91</v>
      </c>
      <c r="C22" s="26">
        <v>3</v>
      </c>
      <c r="D22" s="23">
        <v>3</v>
      </c>
      <c r="E22" s="23">
        <v>1</v>
      </c>
      <c r="F22" s="23">
        <v>48.12</v>
      </c>
    </row>
    <row r="23" spans="1:6" ht="18" customHeight="1">
      <c r="A23" s="19">
        <v>164271.43</v>
      </c>
      <c r="B23" s="18">
        <v>35.71</v>
      </c>
      <c r="C23" s="25">
        <v>7</v>
      </c>
      <c r="D23" s="18">
        <v>4</v>
      </c>
      <c r="E23" s="18">
        <v>0</v>
      </c>
      <c r="F23" s="18">
        <v>30.19</v>
      </c>
    </row>
    <row r="24" spans="1:6" ht="18" customHeight="1">
      <c r="A24" s="24">
        <v>283227.43</v>
      </c>
      <c r="B24" s="23">
        <v>15.65</v>
      </c>
      <c r="C24" s="26">
        <v>3</v>
      </c>
      <c r="D24" s="23">
        <v>4</v>
      </c>
      <c r="E24" s="23">
        <v>1</v>
      </c>
      <c r="F24" s="23">
        <v>15.25</v>
      </c>
    </row>
    <row r="25" spans="1:6" ht="18" customHeight="1">
      <c r="A25" s="19">
        <v>1592438.38</v>
      </c>
      <c r="B25" s="18">
        <v>50.81</v>
      </c>
      <c r="C25" s="25">
        <v>3</v>
      </c>
      <c r="D25" s="18">
        <v>1</v>
      </c>
      <c r="E25" s="18">
        <v>1</v>
      </c>
      <c r="F25" s="18">
        <v>37.28</v>
      </c>
    </row>
    <row r="26" spans="1:6" ht="18" customHeight="1">
      <c r="A26" s="24">
        <v>1731561.6</v>
      </c>
      <c r="B26" s="23">
        <v>86.68</v>
      </c>
      <c r="C26" s="26">
        <v>1</v>
      </c>
      <c r="D26" s="23">
        <v>4</v>
      </c>
      <c r="E26" s="23">
        <v>0</v>
      </c>
      <c r="F26" s="23">
        <v>14.53</v>
      </c>
    </row>
    <row r="27" spans="1:6" ht="18" customHeight="1">
      <c r="A27" s="19">
        <v>1032372.12</v>
      </c>
      <c r="B27" s="18">
        <v>43.08</v>
      </c>
      <c r="C27" s="25">
        <v>2</v>
      </c>
      <c r="D27" s="18">
        <v>1</v>
      </c>
      <c r="E27" s="18">
        <v>0</v>
      </c>
      <c r="F27" s="18">
        <v>25.24</v>
      </c>
    </row>
    <row r="28" spans="1:6" ht="18" customHeight="1">
      <c r="A28" s="24">
        <v>421680.8</v>
      </c>
      <c r="B28" s="23">
        <v>76.510000000000005</v>
      </c>
      <c r="C28" s="26">
        <v>2</v>
      </c>
      <c r="D28" s="23">
        <v>2</v>
      </c>
      <c r="E28" s="23">
        <v>0</v>
      </c>
      <c r="F28" s="23">
        <v>1.4</v>
      </c>
    </row>
    <row r="29" spans="1:6" ht="18" customHeight="1">
      <c r="A29" s="19">
        <v>286053.02</v>
      </c>
      <c r="B29" s="18">
        <v>34.42</v>
      </c>
      <c r="C29" s="25">
        <v>5</v>
      </c>
      <c r="D29" s="18">
        <v>5</v>
      </c>
      <c r="E29" s="18">
        <v>1</v>
      </c>
      <c r="F29" s="18">
        <v>42.34</v>
      </c>
    </row>
    <row r="30" spans="1:6" ht="18" customHeight="1">
      <c r="A30" s="24">
        <v>706403.06</v>
      </c>
      <c r="B30" s="23">
        <v>82.78</v>
      </c>
      <c r="C30" s="26">
        <v>3</v>
      </c>
      <c r="D30" s="23">
        <v>1</v>
      </c>
      <c r="E30" s="23">
        <v>0</v>
      </c>
      <c r="F30" s="23">
        <v>47.83</v>
      </c>
    </row>
    <row r="31" spans="1:6" ht="18" customHeight="1">
      <c r="A31" s="19">
        <v>165651.98000000001</v>
      </c>
      <c r="B31" s="18">
        <v>45.66</v>
      </c>
      <c r="C31" s="25">
        <v>6</v>
      </c>
      <c r="D31" s="18">
        <v>1</v>
      </c>
      <c r="E31" s="18">
        <v>0</v>
      </c>
      <c r="F31" s="18">
        <v>43.3</v>
      </c>
    </row>
    <row r="32" spans="1:6" ht="18" customHeight="1">
      <c r="A32" s="24">
        <v>621023.65</v>
      </c>
      <c r="B32" s="23">
        <v>40.19</v>
      </c>
      <c r="C32" s="26">
        <v>4</v>
      </c>
      <c r="D32" s="23">
        <v>2</v>
      </c>
      <c r="E32" s="23">
        <v>1</v>
      </c>
      <c r="F32" s="23">
        <v>8.64</v>
      </c>
    </row>
    <row r="33" spans="1:6" ht="18" customHeight="1">
      <c r="A33" s="19">
        <v>345698.55</v>
      </c>
      <c r="B33" s="18">
        <v>69.290000000000006</v>
      </c>
      <c r="C33" s="25">
        <v>4</v>
      </c>
      <c r="D33" s="18">
        <v>5</v>
      </c>
      <c r="E33" s="18">
        <v>1</v>
      </c>
      <c r="F33" s="18">
        <v>41.28</v>
      </c>
    </row>
    <row r="34" spans="1:6" ht="18" customHeight="1">
      <c r="A34" s="24">
        <v>277402.36</v>
      </c>
      <c r="B34" s="23">
        <v>53.58</v>
      </c>
      <c r="C34" s="26">
        <v>6</v>
      </c>
      <c r="D34" s="23">
        <v>1</v>
      </c>
      <c r="E34" s="23">
        <v>0</v>
      </c>
      <c r="F34" s="23">
        <v>17.420000000000002</v>
      </c>
    </row>
    <row r="35" spans="1:6" ht="18" customHeight="1">
      <c r="A35" s="19">
        <v>345477.11</v>
      </c>
      <c r="B35" s="18">
        <v>38.67</v>
      </c>
      <c r="C35" s="25">
        <v>4</v>
      </c>
      <c r="D35" s="18">
        <v>2</v>
      </c>
      <c r="E35" s="18">
        <v>1</v>
      </c>
      <c r="F35" s="18">
        <v>46.82</v>
      </c>
    </row>
    <row r="36" spans="1:6" ht="18" customHeight="1">
      <c r="A36" s="24">
        <v>1506157.93</v>
      </c>
      <c r="B36" s="23">
        <v>14.94</v>
      </c>
      <c r="C36" s="26">
        <v>4</v>
      </c>
      <c r="D36" s="23">
        <v>3</v>
      </c>
      <c r="E36" s="23">
        <v>0</v>
      </c>
      <c r="F36" s="23">
        <v>15.02</v>
      </c>
    </row>
    <row r="37" spans="1:6" ht="18" customHeight="1">
      <c r="A37" s="19">
        <v>327794.51</v>
      </c>
      <c r="B37" s="18">
        <v>24.16</v>
      </c>
      <c r="C37" s="25">
        <v>6</v>
      </c>
      <c r="D37" s="18">
        <v>2</v>
      </c>
      <c r="E37" s="18">
        <v>0</v>
      </c>
      <c r="F37" s="18">
        <v>4.5599999999999996</v>
      </c>
    </row>
    <row r="38" spans="1:6" ht="18" customHeight="1">
      <c r="A38" s="24">
        <v>210225.39</v>
      </c>
      <c r="B38" s="23">
        <v>75.650000000000006</v>
      </c>
      <c r="C38" s="26">
        <v>5</v>
      </c>
      <c r="D38" s="23">
        <v>1</v>
      </c>
      <c r="E38" s="23">
        <v>0</v>
      </c>
      <c r="F38" s="23">
        <v>42.66</v>
      </c>
    </row>
    <row r="39" spans="1:6" ht="18" customHeight="1">
      <c r="A39" s="19">
        <v>1623962.59</v>
      </c>
      <c r="B39" s="18">
        <v>88.26</v>
      </c>
      <c r="C39" s="25">
        <v>2</v>
      </c>
      <c r="D39" s="18">
        <v>1</v>
      </c>
      <c r="E39" s="18">
        <v>0</v>
      </c>
      <c r="F39" s="18">
        <v>5.92</v>
      </c>
    </row>
    <row r="40" spans="1:6" ht="18" customHeight="1">
      <c r="A40" s="24">
        <v>190623.56</v>
      </c>
      <c r="B40" s="23">
        <v>24.35</v>
      </c>
      <c r="C40" s="26">
        <v>5</v>
      </c>
      <c r="D40" s="23">
        <v>3</v>
      </c>
      <c r="E40" s="23">
        <v>0</v>
      </c>
      <c r="F40" s="23">
        <v>27.12</v>
      </c>
    </row>
    <row r="41" spans="1:6" ht="18" customHeight="1">
      <c r="A41" s="19">
        <v>561868.88</v>
      </c>
      <c r="B41" s="18">
        <v>58.4</v>
      </c>
      <c r="C41" s="25">
        <v>4</v>
      </c>
      <c r="D41" s="18">
        <v>3</v>
      </c>
      <c r="E41" s="18">
        <v>1</v>
      </c>
      <c r="F41" s="18">
        <v>18.86</v>
      </c>
    </row>
    <row r="42" spans="1:6" ht="18" customHeight="1">
      <c r="A42" s="24">
        <v>305911.38</v>
      </c>
      <c r="B42" s="23">
        <v>12.9</v>
      </c>
      <c r="C42" s="26">
        <v>2</v>
      </c>
      <c r="D42" s="23">
        <v>4</v>
      </c>
      <c r="E42" s="23">
        <v>1</v>
      </c>
      <c r="F42" s="23">
        <v>37.869999999999997</v>
      </c>
    </row>
    <row r="43" spans="1:6" ht="18" customHeight="1">
      <c r="A43" s="19">
        <v>223416.72</v>
      </c>
      <c r="B43" s="18">
        <v>34.72</v>
      </c>
      <c r="C43" s="25">
        <v>4</v>
      </c>
      <c r="D43" s="18">
        <v>1</v>
      </c>
      <c r="E43" s="18">
        <v>1</v>
      </c>
      <c r="F43" s="18">
        <v>37.47</v>
      </c>
    </row>
    <row r="44" spans="1:6" ht="18" customHeight="1">
      <c r="A44" s="24">
        <v>743782.89</v>
      </c>
      <c r="B44" s="23">
        <v>48.15</v>
      </c>
      <c r="C44" s="26">
        <v>3</v>
      </c>
      <c r="D44" s="23">
        <v>3</v>
      </c>
      <c r="E44" s="23">
        <v>0</v>
      </c>
      <c r="F44" s="23">
        <v>38.83</v>
      </c>
    </row>
    <row r="45" spans="1:6" ht="18" customHeight="1">
      <c r="A45" s="19">
        <v>772035.33</v>
      </c>
      <c r="B45" s="18">
        <v>72.55</v>
      </c>
      <c r="C45" s="25">
        <v>4</v>
      </c>
      <c r="D45" s="18">
        <v>3</v>
      </c>
      <c r="E45" s="18">
        <v>1</v>
      </c>
      <c r="F45" s="18">
        <v>3.26</v>
      </c>
    </row>
    <row r="46" spans="1:6" ht="18" customHeight="1">
      <c r="A46" s="24">
        <v>1098739.08</v>
      </c>
      <c r="B46" s="23">
        <v>13.75</v>
      </c>
      <c r="C46" s="26">
        <v>2</v>
      </c>
      <c r="D46" s="23">
        <v>2</v>
      </c>
      <c r="E46" s="23">
        <v>0</v>
      </c>
      <c r="F46" s="23">
        <v>42.93</v>
      </c>
    </row>
    <row r="47" spans="1:6" ht="18" customHeight="1">
      <c r="A47" s="19">
        <v>924921.22</v>
      </c>
      <c r="B47" s="18">
        <v>76.400000000000006</v>
      </c>
      <c r="C47" s="25">
        <v>2</v>
      </c>
      <c r="D47" s="18">
        <v>3</v>
      </c>
      <c r="E47" s="18">
        <v>1</v>
      </c>
      <c r="F47" s="18">
        <v>23.37</v>
      </c>
    </row>
    <row r="48" spans="1:6" ht="18" customHeight="1">
      <c r="A48" s="24">
        <v>551681.13</v>
      </c>
      <c r="B48" s="23">
        <v>27.23</v>
      </c>
      <c r="C48" s="26">
        <v>3</v>
      </c>
      <c r="D48" s="23">
        <v>4</v>
      </c>
      <c r="E48" s="23">
        <v>0</v>
      </c>
      <c r="F48" s="23">
        <v>11.04</v>
      </c>
    </row>
    <row r="49" spans="1:6" ht="18" customHeight="1">
      <c r="A49" s="19">
        <v>163317.07999999999</v>
      </c>
      <c r="B49" s="18">
        <v>74.56</v>
      </c>
      <c r="C49" s="25">
        <v>5</v>
      </c>
      <c r="D49" s="18">
        <v>5</v>
      </c>
      <c r="E49" s="18">
        <v>1</v>
      </c>
      <c r="F49" s="18">
        <v>15.01</v>
      </c>
    </row>
    <row r="50" spans="1:6" ht="18" customHeight="1">
      <c r="A50" s="24">
        <v>429115.41</v>
      </c>
      <c r="B50" s="23">
        <v>63.17</v>
      </c>
      <c r="C50" s="26">
        <v>3</v>
      </c>
      <c r="D50" s="23">
        <v>3</v>
      </c>
      <c r="E50" s="23">
        <v>1</v>
      </c>
      <c r="F50" s="23">
        <v>45.15</v>
      </c>
    </row>
    <row r="51" spans="1:6" ht="18" customHeight="1">
      <c r="A51" s="19">
        <v>501322.28</v>
      </c>
      <c r="B51" s="18">
        <v>38.86</v>
      </c>
      <c r="C51" s="25">
        <v>3</v>
      </c>
      <c r="D51" s="18">
        <v>4</v>
      </c>
      <c r="E51" s="18">
        <v>1</v>
      </c>
      <c r="F51" s="18">
        <v>0.4</v>
      </c>
    </row>
    <row r="52" spans="1:6" ht="18" customHeight="1">
      <c r="A52" s="24">
        <v>747758.56</v>
      </c>
      <c r="B52" s="23">
        <v>71.52</v>
      </c>
      <c r="C52" s="26">
        <v>5</v>
      </c>
      <c r="D52" s="23">
        <v>4</v>
      </c>
      <c r="E52" s="23">
        <v>1</v>
      </c>
      <c r="F52" s="23">
        <v>40.11</v>
      </c>
    </row>
    <row r="53" spans="1:6" ht="18" customHeight="1">
      <c r="A53" s="19">
        <v>812246.13</v>
      </c>
      <c r="B53" s="18">
        <v>30.09</v>
      </c>
      <c r="C53" s="25">
        <v>3</v>
      </c>
      <c r="D53" s="18">
        <v>5</v>
      </c>
      <c r="E53" s="18">
        <v>1</v>
      </c>
      <c r="F53" s="18">
        <v>46.2</v>
      </c>
    </row>
    <row r="54" spans="1:6" ht="18" customHeight="1">
      <c r="A54" s="24">
        <v>172108.7</v>
      </c>
      <c r="B54" s="23">
        <v>28.68</v>
      </c>
      <c r="C54" s="26">
        <v>4</v>
      </c>
      <c r="D54" s="23">
        <v>4</v>
      </c>
      <c r="E54" s="23">
        <v>0</v>
      </c>
      <c r="F54" s="23">
        <v>12.58</v>
      </c>
    </row>
    <row r="55" spans="1:6" ht="18" customHeight="1">
      <c r="A55" s="19">
        <v>481669.02</v>
      </c>
      <c r="B55" s="18">
        <v>15.25</v>
      </c>
      <c r="C55" s="25">
        <v>5</v>
      </c>
      <c r="D55" s="18">
        <v>2</v>
      </c>
      <c r="E55" s="18">
        <v>1</v>
      </c>
      <c r="F55" s="18">
        <v>41.12</v>
      </c>
    </row>
    <row r="56" spans="1:6" ht="18" customHeight="1">
      <c r="A56" s="24">
        <v>262286.09999999998</v>
      </c>
      <c r="B56" s="23">
        <v>43.41</v>
      </c>
      <c r="C56" s="26">
        <v>6</v>
      </c>
      <c r="D56" s="23">
        <v>2</v>
      </c>
      <c r="E56" s="23">
        <v>0</v>
      </c>
      <c r="F56" s="23">
        <v>8.14</v>
      </c>
    </row>
    <row r="57" spans="1:6" ht="18" customHeight="1">
      <c r="A57" s="19">
        <v>330232.57</v>
      </c>
      <c r="B57" s="18">
        <v>18.309999999999999</v>
      </c>
      <c r="C57" s="25">
        <v>4</v>
      </c>
      <c r="D57" s="18">
        <v>4</v>
      </c>
      <c r="E57" s="18">
        <v>1</v>
      </c>
      <c r="F57" s="18">
        <v>0.91</v>
      </c>
    </row>
    <row r="58" spans="1:6" ht="18" customHeight="1">
      <c r="A58" s="24">
        <v>953975.71</v>
      </c>
      <c r="B58" s="23">
        <v>45.66</v>
      </c>
      <c r="C58" s="26">
        <v>3</v>
      </c>
      <c r="D58" s="23">
        <v>3</v>
      </c>
      <c r="E58" s="23">
        <v>0</v>
      </c>
      <c r="F58" s="23">
        <v>30.27</v>
      </c>
    </row>
    <row r="59" spans="1:6" ht="18" customHeight="1">
      <c r="A59" s="19">
        <v>613441.54</v>
      </c>
      <c r="B59" s="18">
        <v>10.83</v>
      </c>
      <c r="C59" s="25">
        <v>6</v>
      </c>
      <c r="D59" s="18">
        <v>2</v>
      </c>
      <c r="E59" s="18">
        <v>1</v>
      </c>
      <c r="F59" s="18">
        <v>32.35</v>
      </c>
    </row>
    <row r="60" spans="1:6" ht="18" customHeight="1">
      <c r="A60" s="24">
        <v>693377.71</v>
      </c>
      <c r="B60" s="23">
        <v>23.18</v>
      </c>
      <c r="C60" s="26">
        <v>5</v>
      </c>
      <c r="D60" s="23">
        <v>3</v>
      </c>
      <c r="E60" s="23">
        <v>1</v>
      </c>
      <c r="F60" s="23">
        <v>7.59</v>
      </c>
    </row>
    <row r="61" spans="1:6" ht="18" customHeight="1">
      <c r="A61" s="19">
        <v>599182.98</v>
      </c>
      <c r="B61" s="18">
        <v>89.25</v>
      </c>
      <c r="C61" s="25">
        <v>2</v>
      </c>
      <c r="D61" s="18">
        <v>5</v>
      </c>
      <c r="E61" s="18">
        <v>1</v>
      </c>
      <c r="F61" s="18">
        <v>25.67</v>
      </c>
    </row>
    <row r="62" spans="1:6" ht="18" customHeight="1">
      <c r="A62" s="24">
        <v>274501.8</v>
      </c>
      <c r="B62" s="23">
        <v>77.62</v>
      </c>
      <c r="C62" s="26">
        <v>6</v>
      </c>
      <c r="D62" s="23">
        <v>2</v>
      </c>
      <c r="E62" s="23">
        <v>1</v>
      </c>
      <c r="F62" s="23">
        <v>19.34</v>
      </c>
    </row>
    <row r="63" spans="1:6" ht="18" customHeight="1">
      <c r="A63" s="19">
        <v>806247.28</v>
      </c>
      <c r="B63" s="18">
        <v>30.07</v>
      </c>
      <c r="C63" s="25">
        <v>3</v>
      </c>
      <c r="D63" s="18">
        <v>3</v>
      </c>
      <c r="E63" s="18">
        <v>1</v>
      </c>
      <c r="F63" s="18">
        <v>3.91</v>
      </c>
    </row>
    <row r="64" spans="1:6" ht="18" customHeight="1">
      <c r="A64" s="24">
        <v>890049.82</v>
      </c>
      <c r="B64" s="23">
        <v>71.05</v>
      </c>
      <c r="C64" s="26">
        <v>4</v>
      </c>
      <c r="D64" s="23">
        <v>3</v>
      </c>
      <c r="E64" s="23">
        <v>1</v>
      </c>
      <c r="F64" s="23">
        <v>25.44</v>
      </c>
    </row>
    <row r="65" spans="1:6" ht="18" customHeight="1">
      <c r="A65" s="19">
        <v>495777.82</v>
      </c>
      <c r="B65" s="18">
        <v>66.819999999999993</v>
      </c>
      <c r="C65" s="25">
        <v>3</v>
      </c>
      <c r="D65" s="18">
        <v>1</v>
      </c>
      <c r="E65" s="18">
        <v>1</v>
      </c>
      <c r="F65" s="18">
        <v>29.3</v>
      </c>
    </row>
    <row r="66" spans="1:6" ht="18" customHeight="1">
      <c r="A66" s="24">
        <v>161249.69</v>
      </c>
      <c r="B66" s="23">
        <v>25.04</v>
      </c>
      <c r="C66" s="26">
        <v>11</v>
      </c>
      <c r="D66" s="23">
        <v>1</v>
      </c>
      <c r="E66" s="23">
        <v>0</v>
      </c>
      <c r="F66" s="23">
        <v>10.94</v>
      </c>
    </row>
    <row r="67" spans="1:6" ht="18" customHeight="1">
      <c r="A67" s="19">
        <v>204180.79</v>
      </c>
      <c r="B67" s="18">
        <v>41.54</v>
      </c>
      <c r="C67" s="25">
        <v>5</v>
      </c>
      <c r="D67" s="18">
        <v>4</v>
      </c>
      <c r="E67" s="18">
        <v>1</v>
      </c>
      <c r="F67" s="18">
        <v>37.020000000000003</v>
      </c>
    </row>
    <row r="68" spans="1:6" ht="18" customHeight="1">
      <c r="A68" s="24">
        <v>241827.92</v>
      </c>
      <c r="B68" s="23">
        <v>87.66</v>
      </c>
      <c r="C68" s="26">
        <v>4</v>
      </c>
      <c r="D68" s="23">
        <v>5</v>
      </c>
      <c r="E68" s="23">
        <v>1</v>
      </c>
      <c r="F68" s="23">
        <v>3.72</v>
      </c>
    </row>
    <row r="69" spans="1:6" ht="18" customHeight="1">
      <c r="A69" s="19">
        <v>645691.80000000005</v>
      </c>
      <c r="B69" s="18">
        <v>72.790000000000006</v>
      </c>
      <c r="C69" s="25">
        <v>5</v>
      </c>
      <c r="D69" s="18">
        <v>5</v>
      </c>
      <c r="E69" s="18">
        <v>0</v>
      </c>
      <c r="F69" s="18">
        <v>27.59</v>
      </c>
    </row>
    <row r="70" spans="1:6" ht="18" customHeight="1">
      <c r="A70" s="24">
        <v>745629.83</v>
      </c>
      <c r="B70" s="23">
        <v>74.63</v>
      </c>
      <c r="C70" s="26">
        <v>6</v>
      </c>
      <c r="D70" s="23">
        <v>2</v>
      </c>
      <c r="E70" s="23">
        <v>1</v>
      </c>
      <c r="F70" s="23">
        <v>15.24</v>
      </c>
    </row>
    <row r="71" spans="1:6" ht="18" customHeight="1">
      <c r="A71" s="19">
        <v>474729.08</v>
      </c>
      <c r="B71" s="18">
        <v>57.93</v>
      </c>
      <c r="C71" s="25">
        <v>4</v>
      </c>
      <c r="D71" s="18">
        <v>2</v>
      </c>
      <c r="E71" s="18">
        <v>0</v>
      </c>
      <c r="F71" s="18">
        <v>21.86</v>
      </c>
    </row>
    <row r="72" spans="1:6" ht="18" customHeight="1">
      <c r="A72" s="24">
        <v>1810244.65</v>
      </c>
      <c r="B72" s="23">
        <v>66.569999999999993</v>
      </c>
      <c r="C72" s="26">
        <v>2</v>
      </c>
      <c r="D72" s="23">
        <v>5</v>
      </c>
      <c r="E72" s="23">
        <v>1</v>
      </c>
      <c r="F72" s="23">
        <v>44.68</v>
      </c>
    </row>
    <row r="73" spans="1:6" ht="18" customHeight="1">
      <c r="A73" s="19">
        <v>821074.66</v>
      </c>
      <c r="B73" s="18">
        <v>53.24</v>
      </c>
      <c r="C73" s="25">
        <v>3</v>
      </c>
      <c r="D73" s="18">
        <v>4</v>
      </c>
      <c r="E73" s="18">
        <v>0</v>
      </c>
      <c r="F73" s="18">
        <v>33.53</v>
      </c>
    </row>
    <row r="74" spans="1:6" ht="18" customHeight="1">
      <c r="A74" s="24">
        <v>336594.35</v>
      </c>
      <c r="B74" s="23">
        <v>72.98</v>
      </c>
      <c r="C74" s="26">
        <v>4</v>
      </c>
      <c r="D74" s="23">
        <v>4</v>
      </c>
      <c r="E74" s="23">
        <v>0</v>
      </c>
      <c r="F74" s="23">
        <v>7.53</v>
      </c>
    </row>
    <row r="75" spans="1:6" ht="18" customHeight="1">
      <c r="A75" s="19">
        <v>820956.23</v>
      </c>
      <c r="B75" s="18">
        <v>72.28</v>
      </c>
      <c r="C75" s="25">
        <v>3</v>
      </c>
      <c r="D75" s="18">
        <v>2</v>
      </c>
      <c r="E75" s="18">
        <v>1</v>
      </c>
      <c r="F75" s="18">
        <v>44.33</v>
      </c>
    </row>
    <row r="76" spans="1:6" ht="18" customHeight="1">
      <c r="A76" s="24">
        <v>997875.73</v>
      </c>
      <c r="B76" s="23">
        <v>12.64</v>
      </c>
      <c r="C76" s="26">
        <v>5</v>
      </c>
      <c r="D76" s="23">
        <v>3</v>
      </c>
      <c r="E76" s="23">
        <v>0</v>
      </c>
      <c r="F76" s="23">
        <v>18.7</v>
      </c>
    </row>
    <row r="77" spans="1:6" ht="18" customHeight="1">
      <c r="A77" s="19">
        <v>323432.24</v>
      </c>
      <c r="B77" s="18">
        <v>63.7</v>
      </c>
      <c r="C77" s="25">
        <v>6</v>
      </c>
      <c r="D77" s="18">
        <v>4</v>
      </c>
      <c r="E77" s="18">
        <v>0</v>
      </c>
      <c r="F77" s="18">
        <v>17.13</v>
      </c>
    </row>
    <row r="78" spans="1:6" ht="18" customHeight="1">
      <c r="A78" s="24">
        <v>5069669.54</v>
      </c>
      <c r="B78" s="23">
        <v>63.53</v>
      </c>
      <c r="C78" s="26">
        <v>1</v>
      </c>
      <c r="D78" s="23">
        <v>3</v>
      </c>
      <c r="E78" s="23">
        <v>1</v>
      </c>
      <c r="F78" s="23">
        <v>25.13</v>
      </c>
    </row>
    <row r="79" spans="1:6" ht="18" customHeight="1">
      <c r="A79" s="19">
        <v>137247.43</v>
      </c>
      <c r="B79" s="18">
        <v>15.72</v>
      </c>
      <c r="C79" s="25">
        <v>3</v>
      </c>
      <c r="D79" s="18">
        <v>3</v>
      </c>
      <c r="E79" s="18">
        <v>1</v>
      </c>
      <c r="F79" s="18">
        <v>10.34</v>
      </c>
    </row>
    <row r="80" spans="1:6" ht="18" customHeight="1">
      <c r="A80" s="24">
        <v>811668.38</v>
      </c>
      <c r="B80" s="23">
        <v>44.88</v>
      </c>
      <c r="C80" s="26">
        <v>4</v>
      </c>
      <c r="D80" s="23">
        <v>4</v>
      </c>
      <c r="E80" s="23">
        <v>0</v>
      </c>
      <c r="F80" s="23">
        <v>45.72</v>
      </c>
    </row>
    <row r="81" spans="1:6" ht="18" customHeight="1">
      <c r="A81" s="19">
        <v>417813.45</v>
      </c>
      <c r="B81" s="18">
        <v>86.4</v>
      </c>
      <c r="C81" s="25">
        <v>5</v>
      </c>
      <c r="D81" s="18">
        <v>4</v>
      </c>
      <c r="E81" s="18">
        <v>0</v>
      </c>
      <c r="F81" s="18">
        <v>23.45</v>
      </c>
    </row>
    <row r="82" spans="1:6" ht="18" customHeight="1">
      <c r="A82" s="24">
        <v>552375.47</v>
      </c>
      <c r="B82" s="23">
        <v>91.04</v>
      </c>
      <c r="C82" s="26">
        <v>3</v>
      </c>
      <c r="D82" s="23">
        <v>2</v>
      </c>
      <c r="E82" s="23">
        <v>0</v>
      </c>
      <c r="F82" s="23">
        <v>19.75</v>
      </c>
    </row>
    <row r="83" spans="1:6" ht="18" customHeight="1">
      <c r="A83" s="19">
        <v>2094983.98</v>
      </c>
      <c r="B83" s="18">
        <v>76.489999999999995</v>
      </c>
      <c r="C83" s="25">
        <v>1</v>
      </c>
      <c r="D83" s="18">
        <v>2</v>
      </c>
      <c r="E83" s="18">
        <v>0</v>
      </c>
      <c r="F83" s="18">
        <v>8.6300000000000008</v>
      </c>
    </row>
    <row r="84" spans="1:6" ht="18" customHeight="1">
      <c r="A84" s="24">
        <v>200555.51</v>
      </c>
      <c r="B84" s="23">
        <v>22.88</v>
      </c>
      <c r="C84" s="26">
        <v>3</v>
      </c>
      <c r="D84" s="23">
        <v>4</v>
      </c>
      <c r="E84" s="23">
        <v>1</v>
      </c>
      <c r="F84" s="23">
        <v>40.15</v>
      </c>
    </row>
    <row r="85" spans="1:6" ht="18" customHeight="1">
      <c r="A85" s="19">
        <v>868957.67</v>
      </c>
      <c r="B85" s="18">
        <v>41.85</v>
      </c>
      <c r="C85" s="25">
        <v>2</v>
      </c>
      <c r="D85" s="18">
        <v>2</v>
      </c>
      <c r="E85" s="18">
        <v>1</v>
      </c>
      <c r="F85" s="18">
        <v>47.65</v>
      </c>
    </row>
    <row r="86" spans="1:6" ht="18" customHeight="1">
      <c r="A86" s="24">
        <v>491309.54</v>
      </c>
      <c r="B86" s="23">
        <v>25.52</v>
      </c>
      <c r="C86" s="26">
        <v>5</v>
      </c>
      <c r="D86" s="23">
        <v>5</v>
      </c>
      <c r="E86" s="23">
        <v>1</v>
      </c>
      <c r="F86" s="23">
        <v>43.49</v>
      </c>
    </row>
    <row r="87" spans="1:6" ht="18" customHeight="1">
      <c r="A87" s="19">
        <v>2406272.06</v>
      </c>
      <c r="B87" s="18">
        <v>65.430000000000007</v>
      </c>
      <c r="C87" s="25">
        <v>2</v>
      </c>
      <c r="D87" s="18">
        <v>4</v>
      </c>
      <c r="E87" s="18">
        <v>0</v>
      </c>
      <c r="F87" s="18">
        <v>8.16</v>
      </c>
    </row>
    <row r="88" spans="1:6" ht="18" customHeight="1">
      <c r="A88" s="24">
        <v>484283.41</v>
      </c>
      <c r="B88" s="23">
        <v>75.72</v>
      </c>
      <c r="C88" s="26">
        <v>3</v>
      </c>
      <c r="D88" s="23">
        <v>4</v>
      </c>
      <c r="E88" s="23">
        <v>1</v>
      </c>
      <c r="F88" s="23">
        <v>37.61</v>
      </c>
    </row>
    <row r="89" spans="1:6" ht="18" customHeight="1">
      <c r="A89" s="19">
        <v>610330.97</v>
      </c>
      <c r="B89" s="18">
        <v>85.12</v>
      </c>
      <c r="C89" s="25">
        <v>2</v>
      </c>
      <c r="D89" s="18">
        <v>2</v>
      </c>
      <c r="E89" s="18">
        <v>0</v>
      </c>
      <c r="F89" s="18">
        <v>10.29</v>
      </c>
    </row>
    <row r="90" spans="1:6" ht="18" customHeight="1">
      <c r="A90" s="24">
        <v>293463.3</v>
      </c>
      <c r="B90" s="23">
        <v>83.16</v>
      </c>
      <c r="C90" s="26">
        <v>5</v>
      </c>
      <c r="D90" s="23">
        <v>1</v>
      </c>
      <c r="E90" s="23">
        <v>0</v>
      </c>
      <c r="F90" s="23">
        <v>2.04</v>
      </c>
    </row>
    <row r="91" spans="1:6" ht="18" customHeight="1">
      <c r="A91" s="19">
        <v>1717008.5</v>
      </c>
      <c r="B91" s="18">
        <v>18.43</v>
      </c>
      <c r="C91" s="25">
        <v>2</v>
      </c>
      <c r="D91" s="18">
        <v>1</v>
      </c>
      <c r="E91" s="18">
        <v>1</v>
      </c>
      <c r="F91" s="18">
        <v>24.28</v>
      </c>
    </row>
    <row r="92" spans="1:6" ht="18" customHeight="1">
      <c r="A92" s="24">
        <v>805032.86</v>
      </c>
      <c r="B92" s="23">
        <v>20.68</v>
      </c>
      <c r="C92" s="26">
        <v>3</v>
      </c>
      <c r="D92" s="23">
        <v>3</v>
      </c>
      <c r="E92" s="23">
        <v>0</v>
      </c>
      <c r="F92" s="23">
        <v>33.549999999999997</v>
      </c>
    </row>
    <row r="93" spans="1:6" ht="18" customHeight="1">
      <c r="A93" s="19">
        <v>288573.75</v>
      </c>
      <c r="B93" s="18">
        <v>87.32</v>
      </c>
      <c r="C93" s="25">
        <v>5</v>
      </c>
      <c r="D93" s="18">
        <v>2</v>
      </c>
      <c r="E93" s="18">
        <v>1</v>
      </c>
      <c r="F93" s="18">
        <v>6.3</v>
      </c>
    </row>
    <row r="94" spans="1:6" ht="18" customHeight="1">
      <c r="A94" s="24">
        <v>674458.95</v>
      </c>
      <c r="B94" s="23">
        <v>81.72</v>
      </c>
      <c r="C94" s="26">
        <v>4</v>
      </c>
      <c r="D94" s="23">
        <v>2</v>
      </c>
      <c r="E94" s="23">
        <v>0</v>
      </c>
      <c r="F94" s="23">
        <v>30.32</v>
      </c>
    </row>
    <row r="95" spans="1:6" ht="18" customHeight="1">
      <c r="A95" s="19">
        <v>210167.78</v>
      </c>
      <c r="B95" s="18">
        <v>49.13</v>
      </c>
      <c r="C95" s="25">
        <v>10</v>
      </c>
      <c r="D95" s="18">
        <v>2</v>
      </c>
      <c r="E95" s="18">
        <v>1</v>
      </c>
      <c r="F95" s="18">
        <v>42.2</v>
      </c>
    </row>
    <row r="96" spans="1:6" ht="18" customHeight="1">
      <c r="A96" s="24">
        <v>1772745.11</v>
      </c>
      <c r="B96" s="23">
        <v>46.55</v>
      </c>
      <c r="C96" s="26">
        <v>2</v>
      </c>
      <c r="D96" s="23">
        <v>3</v>
      </c>
      <c r="E96" s="23">
        <v>0</v>
      </c>
      <c r="F96" s="23">
        <v>10.53</v>
      </c>
    </row>
    <row r="97" spans="1:6" ht="18" customHeight="1">
      <c r="A97" s="19">
        <v>1301161.8400000001</v>
      </c>
      <c r="B97" s="18">
        <v>56.99</v>
      </c>
      <c r="C97" s="25">
        <v>1</v>
      </c>
      <c r="D97" s="18">
        <v>3</v>
      </c>
      <c r="E97" s="18">
        <v>1</v>
      </c>
      <c r="F97" s="18">
        <v>21.45</v>
      </c>
    </row>
    <row r="98" spans="1:6" ht="18" customHeight="1">
      <c r="A98" s="24">
        <v>814439.59</v>
      </c>
      <c r="B98" s="23">
        <v>60.71</v>
      </c>
      <c r="C98" s="26">
        <v>2</v>
      </c>
      <c r="D98" s="23">
        <v>3</v>
      </c>
      <c r="E98" s="23">
        <v>0</v>
      </c>
      <c r="F98" s="23">
        <v>24.99</v>
      </c>
    </row>
    <row r="99" spans="1:6" ht="18" customHeight="1">
      <c r="A99" s="19">
        <v>522365.5</v>
      </c>
      <c r="B99" s="18">
        <v>31.61</v>
      </c>
      <c r="C99" s="25">
        <v>3</v>
      </c>
      <c r="D99" s="18">
        <v>1</v>
      </c>
      <c r="E99" s="18">
        <v>0</v>
      </c>
      <c r="F99" s="18">
        <v>41.58</v>
      </c>
    </row>
    <row r="100" spans="1:6" ht="18" customHeight="1">
      <c r="A100" s="24">
        <v>411985.67</v>
      </c>
      <c r="B100" s="23">
        <v>44.32</v>
      </c>
      <c r="C100" s="26">
        <v>2</v>
      </c>
      <c r="D100" s="23">
        <v>5</v>
      </c>
      <c r="E100" s="23">
        <v>1</v>
      </c>
      <c r="F100" s="23">
        <v>38.590000000000003</v>
      </c>
    </row>
    <row r="101" spans="1:6" ht="18" customHeight="1">
      <c r="A101" s="19">
        <v>2368274.4500000002</v>
      </c>
      <c r="B101" s="18">
        <v>62.67</v>
      </c>
      <c r="C101" s="25">
        <v>1</v>
      </c>
      <c r="D101" s="18">
        <v>3</v>
      </c>
      <c r="E101" s="18">
        <v>1</v>
      </c>
      <c r="F101" s="18">
        <v>38.49</v>
      </c>
    </row>
    <row r="102" spans="1:6" ht="18" customHeight="1">
      <c r="A102" s="24">
        <v>386494.8</v>
      </c>
      <c r="B102" s="23">
        <v>27.53</v>
      </c>
      <c r="C102" s="26">
        <v>6</v>
      </c>
      <c r="D102" s="23">
        <v>1</v>
      </c>
      <c r="E102" s="23">
        <v>1</v>
      </c>
      <c r="F102" s="23">
        <v>33.979999999999997</v>
      </c>
    </row>
    <row r="103" spans="1:6" ht="18" customHeight="1">
      <c r="A103" s="19">
        <v>331475.31</v>
      </c>
      <c r="B103" s="18">
        <v>94.9</v>
      </c>
      <c r="C103" s="25">
        <v>6</v>
      </c>
      <c r="D103" s="18">
        <v>1</v>
      </c>
      <c r="E103" s="18">
        <v>1</v>
      </c>
      <c r="F103" s="18">
        <v>30.93</v>
      </c>
    </row>
    <row r="104" spans="1:6" ht="18" customHeight="1">
      <c r="A104" s="24">
        <v>215303.98</v>
      </c>
      <c r="B104" s="23">
        <v>34.049999999999997</v>
      </c>
      <c r="C104" s="26">
        <v>8</v>
      </c>
      <c r="D104" s="23">
        <v>2</v>
      </c>
      <c r="E104" s="23">
        <v>0</v>
      </c>
      <c r="F104" s="23">
        <v>25.49</v>
      </c>
    </row>
    <row r="105" spans="1:6" ht="18" customHeight="1">
      <c r="A105" s="19">
        <v>282706.71000000002</v>
      </c>
      <c r="B105" s="18">
        <v>56.96</v>
      </c>
      <c r="C105" s="25">
        <v>3</v>
      </c>
      <c r="D105" s="18">
        <v>2</v>
      </c>
      <c r="E105" s="18">
        <v>0</v>
      </c>
      <c r="F105" s="18">
        <v>18.54</v>
      </c>
    </row>
    <row r="106" spans="1:6" ht="18" customHeight="1">
      <c r="A106" s="24">
        <v>308098.52</v>
      </c>
      <c r="B106" s="23">
        <v>57.1</v>
      </c>
      <c r="C106" s="26">
        <v>5</v>
      </c>
      <c r="D106" s="23">
        <v>3</v>
      </c>
      <c r="E106" s="23">
        <v>0</v>
      </c>
      <c r="F106" s="23">
        <v>25.71</v>
      </c>
    </row>
    <row r="107" spans="1:6" ht="18" customHeight="1">
      <c r="A107" s="19">
        <v>230604.9</v>
      </c>
      <c r="B107" s="18">
        <v>48.38</v>
      </c>
      <c r="C107" s="25">
        <v>7</v>
      </c>
      <c r="D107" s="18">
        <v>5</v>
      </c>
      <c r="E107" s="18">
        <v>1</v>
      </c>
      <c r="F107" s="18">
        <v>42.7</v>
      </c>
    </row>
    <row r="108" spans="1:6" ht="18" customHeight="1">
      <c r="A108" s="24">
        <v>306305.82</v>
      </c>
      <c r="B108" s="23">
        <v>30.53</v>
      </c>
      <c r="C108" s="26">
        <v>4</v>
      </c>
      <c r="D108" s="23">
        <v>2</v>
      </c>
      <c r="E108" s="23">
        <v>1</v>
      </c>
      <c r="F108" s="23">
        <v>28.57</v>
      </c>
    </row>
    <row r="109" spans="1:6" ht="18" customHeight="1">
      <c r="A109" s="19">
        <v>224984.55</v>
      </c>
      <c r="B109" s="18">
        <v>58.06</v>
      </c>
      <c r="C109" s="25">
        <v>8</v>
      </c>
      <c r="D109" s="18">
        <v>4</v>
      </c>
      <c r="E109" s="18">
        <v>1</v>
      </c>
      <c r="F109" s="18">
        <v>49.28</v>
      </c>
    </row>
    <row r="110" spans="1:6" ht="18" customHeight="1">
      <c r="A110" s="24">
        <v>631678.69999999995</v>
      </c>
      <c r="B110" s="23">
        <v>17.739999999999998</v>
      </c>
      <c r="C110" s="26">
        <v>4</v>
      </c>
      <c r="D110" s="23">
        <v>5</v>
      </c>
      <c r="E110" s="23">
        <v>1</v>
      </c>
      <c r="F110" s="23">
        <v>7.21</v>
      </c>
    </row>
    <row r="111" spans="1:6" ht="18" customHeight="1">
      <c r="A111" s="19">
        <v>1229691.19</v>
      </c>
      <c r="B111" s="18">
        <v>42.89</v>
      </c>
      <c r="C111" s="25">
        <v>5</v>
      </c>
      <c r="D111" s="18">
        <v>2</v>
      </c>
      <c r="E111" s="18">
        <v>1</v>
      </c>
      <c r="F111" s="18">
        <v>22.11</v>
      </c>
    </row>
    <row r="112" spans="1:6" ht="18" customHeight="1">
      <c r="A112" s="24">
        <v>733904.65</v>
      </c>
      <c r="B112" s="23">
        <v>29.06</v>
      </c>
      <c r="C112" s="26">
        <v>3</v>
      </c>
      <c r="D112" s="23">
        <v>2</v>
      </c>
      <c r="E112" s="23">
        <v>1</v>
      </c>
      <c r="F112" s="23">
        <v>10.09</v>
      </c>
    </row>
    <row r="113" spans="1:6" ht="18" customHeight="1">
      <c r="A113" s="19">
        <v>578524.32999999996</v>
      </c>
      <c r="B113" s="18">
        <v>20.56</v>
      </c>
      <c r="C113" s="25">
        <v>4</v>
      </c>
      <c r="D113" s="18">
        <v>3</v>
      </c>
      <c r="E113" s="18">
        <v>1</v>
      </c>
      <c r="F113" s="18">
        <v>18.32</v>
      </c>
    </row>
    <row r="114" spans="1:6" ht="18" customHeight="1">
      <c r="A114" s="24">
        <v>632047.71</v>
      </c>
      <c r="B114" s="23">
        <v>88.67</v>
      </c>
      <c r="C114" s="26">
        <v>3</v>
      </c>
      <c r="D114" s="23">
        <v>4</v>
      </c>
      <c r="E114" s="23">
        <v>0</v>
      </c>
      <c r="F114" s="23">
        <v>39.51</v>
      </c>
    </row>
    <row r="115" spans="1:6" ht="18" customHeight="1">
      <c r="A115" s="19">
        <v>209007.41</v>
      </c>
      <c r="B115" s="18">
        <v>69.5</v>
      </c>
      <c r="C115" s="25">
        <v>3</v>
      </c>
      <c r="D115" s="18">
        <v>1</v>
      </c>
      <c r="E115" s="18">
        <v>0</v>
      </c>
      <c r="F115" s="18">
        <v>41.26</v>
      </c>
    </row>
    <row r="116" spans="1:6" ht="18" customHeight="1">
      <c r="A116" s="24">
        <v>325244.40999999997</v>
      </c>
      <c r="B116" s="23">
        <v>24.35</v>
      </c>
      <c r="C116" s="26">
        <v>6</v>
      </c>
      <c r="D116" s="23">
        <v>3</v>
      </c>
      <c r="E116" s="23">
        <v>1</v>
      </c>
      <c r="F116" s="23">
        <v>1.68</v>
      </c>
    </row>
    <row r="117" spans="1:6" ht="18" customHeight="1">
      <c r="A117" s="19">
        <v>685240.97</v>
      </c>
      <c r="B117" s="18">
        <v>90.7</v>
      </c>
      <c r="C117" s="25">
        <v>3</v>
      </c>
      <c r="D117" s="18">
        <v>4</v>
      </c>
      <c r="E117" s="18">
        <v>1</v>
      </c>
      <c r="F117" s="18">
        <v>47.67</v>
      </c>
    </row>
    <row r="118" spans="1:6" ht="18" customHeight="1">
      <c r="A118" s="24">
        <v>2173068.77</v>
      </c>
      <c r="B118" s="23">
        <v>28.36</v>
      </c>
      <c r="C118" s="26">
        <v>4</v>
      </c>
      <c r="D118" s="23">
        <v>3</v>
      </c>
      <c r="E118" s="23">
        <v>1</v>
      </c>
      <c r="F118" s="23">
        <v>43.61</v>
      </c>
    </row>
    <row r="119" spans="1:6" ht="18" customHeight="1">
      <c r="A119" s="19">
        <v>353325.68</v>
      </c>
      <c r="B119" s="18">
        <v>30.03</v>
      </c>
      <c r="C119" s="25">
        <v>5</v>
      </c>
      <c r="D119" s="18">
        <v>3</v>
      </c>
      <c r="E119" s="18">
        <v>0</v>
      </c>
      <c r="F119" s="18">
        <v>45.26</v>
      </c>
    </row>
    <row r="120" spans="1:6" ht="18" customHeight="1">
      <c r="A120" s="24">
        <v>1187999.3400000001</v>
      </c>
      <c r="B120" s="23">
        <v>21.33</v>
      </c>
      <c r="C120" s="26">
        <v>2</v>
      </c>
      <c r="D120" s="23">
        <v>3</v>
      </c>
      <c r="E120" s="23">
        <v>0</v>
      </c>
      <c r="F120" s="23">
        <v>18.899999999999999</v>
      </c>
    </row>
    <row r="121" spans="1:6" ht="18" customHeight="1">
      <c r="A121" s="19">
        <v>970945.64</v>
      </c>
      <c r="B121" s="18">
        <v>71.87</v>
      </c>
      <c r="C121" s="25">
        <v>2</v>
      </c>
      <c r="D121" s="18">
        <v>3</v>
      </c>
      <c r="E121" s="18">
        <v>1</v>
      </c>
      <c r="F121" s="18">
        <v>24.9</v>
      </c>
    </row>
    <row r="122" spans="1:6" ht="18" customHeight="1">
      <c r="A122" s="24">
        <v>245855.39</v>
      </c>
      <c r="B122" s="23">
        <v>58.52</v>
      </c>
      <c r="C122" s="26">
        <v>4</v>
      </c>
      <c r="D122" s="23">
        <v>3</v>
      </c>
      <c r="E122" s="23">
        <v>1</v>
      </c>
      <c r="F122" s="23">
        <v>8.51</v>
      </c>
    </row>
    <row r="123" spans="1:6" ht="18" customHeight="1">
      <c r="A123" s="19">
        <v>984017.86</v>
      </c>
      <c r="B123" s="18">
        <v>14.95</v>
      </c>
      <c r="C123" s="25">
        <v>4</v>
      </c>
      <c r="D123" s="18">
        <v>2</v>
      </c>
      <c r="E123" s="18">
        <v>1</v>
      </c>
      <c r="F123" s="18">
        <v>19.899999999999999</v>
      </c>
    </row>
    <row r="124" spans="1:6" ht="18" customHeight="1">
      <c r="A124" s="24">
        <v>778298.54</v>
      </c>
      <c r="B124" s="23">
        <v>12.15</v>
      </c>
      <c r="C124" s="26">
        <v>4</v>
      </c>
      <c r="D124" s="23">
        <v>3</v>
      </c>
      <c r="E124" s="23">
        <v>0</v>
      </c>
      <c r="F124" s="23">
        <v>6.39</v>
      </c>
    </row>
    <row r="125" spans="1:6" ht="18" customHeight="1">
      <c r="A125" s="19">
        <v>796772.77</v>
      </c>
      <c r="B125" s="18">
        <v>55.28</v>
      </c>
      <c r="C125" s="25">
        <v>4</v>
      </c>
      <c r="D125" s="18">
        <v>2</v>
      </c>
      <c r="E125" s="18">
        <v>0</v>
      </c>
      <c r="F125" s="18">
        <v>43.18</v>
      </c>
    </row>
    <row r="126" spans="1:6" ht="18" customHeight="1">
      <c r="A126" s="24">
        <v>574479.88</v>
      </c>
      <c r="B126" s="23">
        <v>65.38</v>
      </c>
      <c r="C126" s="26">
        <v>2</v>
      </c>
      <c r="D126" s="23">
        <v>5</v>
      </c>
      <c r="E126" s="23">
        <v>1</v>
      </c>
      <c r="F126" s="23">
        <v>29.1</v>
      </c>
    </row>
    <row r="127" spans="1:6" ht="18" customHeight="1">
      <c r="A127" s="19">
        <v>1150126.19</v>
      </c>
      <c r="B127" s="18">
        <v>79.94</v>
      </c>
      <c r="C127" s="25">
        <v>4</v>
      </c>
      <c r="D127" s="18">
        <v>2</v>
      </c>
      <c r="E127" s="18">
        <v>0</v>
      </c>
      <c r="F127" s="18">
        <v>6.89</v>
      </c>
    </row>
    <row r="128" spans="1:6" ht="18" customHeight="1">
      <c r="A128" s="24">
        <v>213756.97</v>
      </c>
      <c r="B128" s="23">
        <v>50.65</v>
      </c>
      <c r="C128" s="26">
        <v>4</v>
      </c>
      <c r="D128" s="23">
        <v>2</v>
      </c>
      <c r="E128" s="23">
        <v>0</v>
      </c>
      <c r="F128" s="23">
        <v>43.97</v>
      </c>
    </row>
    <row r="129" spans="1:6" ht="18" customHeight="1">
      <c r="A129" s="19">
        <v>2819624.44</v>
      </c>
      <c r="B129" s="18">
        <v>67.510000000000005</v>
      </c>
      <c r="C129" s="25">
        <v>1</v>
      </c>
      <c r="D129" s="18">
        <v>2</v>
      </c>
      <c r="E129" s="18">
        <v>1</v>
      </c>
      <c r="F129" s="18">
        <v>4.1100000000000003</v>
      </c>
    </row>
    <row r="130" spans="1:6" ht="18" customHeight="1">
      <c r="A130" s="24">
        <v>2459973.38</v>
      </c>
      <c r="B130" s="23">
        <v>72.36</v>
      </c>
      <c r="C130" s="26">
        <v>3</v>
      </c>
      <c r="D130" s="23">
        <v>5</v>
      </c>
      <c r="E130" s="23">
        <v>0</v>
      </c>
      <c r="F130" s="23">
        <v>46.35</v>
      </c>
    </row>
    <row r="131" spans="1:6" ht="18" customHeight="1">
      <c r="A131" s="19">
        <v>547178.87</v>
      </c>
      <c r="B131" s="18">
        <v>62.11</v>
      </c>
      <c r="C131" s="25">
        <v>2</v>
      </c>
      <c r="D131" s="18">
        <v>3</v>
      </c>
      <c r="E131" s="18">
        <v>0</v>
      </c>
      <c r="F131" s="18">
        <v>5.38</v>
      </c>
    </row>
    <row r="132" spans="1:6" ht="18" customHeight="1">
      <c r="A132" s="24">
        <v>352895.41</v>
      </c>
      <c r="B132" s="23">
        <v>39.94</v>
      </c>
      <c r="C132" s="26">
        <v>4</v>
      </c>
      <c r="D132" s="23">
        <v>3</v>
      </c>
      <c r="E132" s="23">
        <v>0</v>
      </c>
      <c r="F132" s="23">
        <v>35.93</v>
      </c>
    </row>
    <row r="133" spans="1:6" ht="18" customHeight="1">
      <c r="A133" s="19">
        <v>701641.96</v>
      </c>
      <c r="B133" s="18">
        <v>21.21</v>
      </c>
      <c r="C133" s="25">
        <v>3</v>
      </c>
      <c r="D133" s="18">
        <v>5</v>
      </c>
      <c r="E133" s="18">
        <v>1</v>
      </c>
      <c r="F133" s="18">
        <v>32.299999999999997</v>
      </c>
    </row>
    <row r="134" spans="1:6" ht="18" customHeight="1">
      <c r="A134" s="24">
        <v>732902.11</v>
      </c>
      <c r="B134" s="23">
        <v>65.040000000000006</v>
      </c>
      <c r="C134" s="26">
        <v>2</v>
      </c>
      <c r="D134" s="23">
        <v>5</v>
      </c>
      <c r="E134" s="23">
        <v>0</v>
      </c>
      <c r="F134" s="23">
        <v>39.159999999999997</v>
      </c>
    </row>
    <row r="135" spans="1:6" ht="18" customHeight="1">
      <c r="A135" s="19">
        <v>195498.42</v>
      </c>
      <c r="B135" s="18">
        <v>75.34</v>
      </c>
      <c r="C135" s="25">
        <v>4</v>
      </c>
      <c r="D135" s="18">
        <v>3</v>
      </c>
      <c r="E135" s="18">
        <v>1</v>
      </c>
      <c r="F135" s="18">
        <v>28.28</v>
      </c>
    </row>
    <row r="136" spans="1:6" ht="18" customHeight="1">
      <c r="A136" s="24">
        <v>516506.64</v>
      </c>
      <c r="B136" s="23">
        <v>26.14</v>
      </c>
      <c r="C136" s="26">
        <v>4</v>
      </c>
      <c r="D136" s="23">
        <v>3</v>
      </c>
      <c r="E136" s="23">
        <v>0</v>
      </c>
      <c r="F136" s="23">
        <v>17.559999999999999</v>
      </c>
    </row>
    <row r="137" spans="1:6" ht="18" customHeight="1">
      <c r="A137" s="19">
        <v>209646.88</v>
      </c>
      <c r="B137" s="18">
        <v>52.06</v>
      </c>
      <c r="C137" s="25">
        <v>5</v>
      </c>
      <c r="D137" s="18">
        <v>5</v>
      </c>
      <c r="E137" s="18">
        <v>1</v>
      </c>
      <c r="F137" s="18">
        <v>13.79</v>
      </c>
    </row>
    <row r="138" spans="1:6" ht="18" customHeight="1">
      <c r="A138" s="24">
        <v>1317186.1000000001</v>
      </c>
      <c r="B138" s="23">
        <v>43.77</v>
      </c>
      <c r="C138" s="26">
        <v>2</v>
      </c>
      <c r="D138" s="23">
        <v>2</v>
      </c>
      <c r="E138" s="23">
        <v>1</v>
      </c>
      <c r="F138" s="23">
        <v>47.28</v>
      </c>
    </row>
    <row r="139" spans="1:6" ht="18" customHeight="1">
      <c r="A139" s="19">
        <v>571030.72</v>
      </c>
      <c r="B139" s="18">
        <v>27.48</v>
      </c>
      <c r="C139" s="25">
        <v>2</v>
      </c>
      <c r="D139" s="18">
        <v>3</v>
      </c>
      <c r="E139" s="18">
        <v>1</v>
      </c>
      <c r="F139" s="18">
        <v>22.12</v>
      </c>
    </row>
    <row r="140" spans="1:6" ht="18" customHeight="1">
      <c r="A140" s="24">
        <v>628140.47</v>
      </c>
      <c r="B140" s="23">
        <v>30.85</v>
      </c>
      <c r="C140" s="26">
        <v>8</v>
      </c>
      <c r="D140" s="23">
        <v>4</v>
      </c>
      <c r="E140" s="23">
        <v>1</v>
      </c>
      <c r="F140" s="23">
        <v>42.13</v>
      </c>
    </row>
    <row r="141" spans="1:6" ht="18" customHeight="1">
      <c r="A141" s="19">
        <v>619644.28</v>
      </c>
      <c r="B141" s="18">
        <v>30.2</v>
      </c>
      <c r="C141" s="25">
        <v>2</v>
      </c>
      <c r="D141" s="18">
        <v>3</v>
      </c>
      <c r="E141" s="18">
        <v>0</v>
      </c>
      <c r="F141" s="18">
        <v>36.18</v>
      </c>
    </row>
    <row r="142" spans="1:6" ht="18" customHeight="1">
      <c r="A142" s="24">
        <v>272393.67</v>
      </c>
      <c r="B142" s="23">
        <v>45.61</v>
      </c>
      <c r="C142" s="26">
        <v>6</v>
      </c>
      <c r="D142" s="23">
        <v>1</v>
      </c>
      <c r="E142" s="23">
        <v>1</v>
      </c>
      <c r="F142" s="23">
        <v>32.840000000000003</v>
      </c>
    </row>
    <row r="143" spans="1:6" ht="18" customHeight="1">
      <c r="A143" s="19">
        <v>3230379.98</v>
      </c>
      <c r="B143" s="18">
        <v>43.19</v>
      </c>
      <c r="C143" s="25">
        <v>1</v>
      </c>
      <c r="D143" s="18">
        <v>1</v>
      </c>
      <c r="E143" s="18">
        <v>1</v>
      </c>
      <c r="F143" s="18">
        <v>48.53</v>
      </c>
    </row>
    <row r="144" spans="1:6" ht="18" customHeight="1">
      <c r="A144" s="24">
        <v>118425.56</v>
      </c>
      <c r="B144" s="23">
        <v>57.11</v>
      </c>
      <c r="C144" s="26">
        <v>8</v>
      </c>
      <c r="D144" s="23">
        <v>4</v>
      </c>
      <c r="E144" s="23">
        <v>1</v>
      </c>
      <c r="F144" s="23">
        <v>28.32</v>
      </c>
    </row>
    <row r="145" spans="1:6" ht="18" customHeight="1">
      <c r="A145" s="19">
        <v>568173.21</v>
      </c>
      <c r="B145" s="18">
        <v>17.920000000000002</v>
      </c>
      <c r="C145" s="25">
        <v>4</v>
      </c>
      <c r="D145" s="18">
        <v>1</v>
      </c>
      <c r="E145" s="18">
        <v>1</v>
      </c>
      <c r="F145" s="18">
        <v>36.68</v>
      </c>
    </row>
    <row r="146" spans="1:6" ht="18" customHeight="1">
      <c r="A146" s="24">
        <v>2171955.5</v>
      </c>
      <c r="B146" s="23">
        <v>59.41</v>
      </c>
      <c r="C146" s="26">
        <v>2</v>
      </c>
      <c r="D146" s="23">
        <v>5</v>
      </c>
      <c r="E146" s="23">
        <v>0</v>
      </c>
      <c r="F146" s="23">
        <v>42.5</v>
      </c>
    </row>
    <row r="147" spans="1:6" ht="18" customHeight="1">
      <c r="A147" s="19">
        <v>151156.67000000001</v>
      </c>
      <c r="B147" s="18">
        <v>11.86</v>
      </c>
      <c r="C147" s="25">
        <v>5</v>
      </c>
      <c r="D147" s="18">
        <v>2</v>
      </c>
      <c r="E147" s="18">
        <v>0</v>
      </c>
      <c r="F147" s="18">
        <v>2.39</v>
      </c>
    </row>
    <row r="148" spans="1:6" ht="18" customHeight="1">
      <c r="A148" s="24">
        <v>369173.07</v>
      </c>
      <c r="B148" s="23">
        <v>31.88</v>
      </c>
      <c r="C148" s="26">
        <v>6</v>
      </c>
      <c r="D148" s="23">
        <v>3</v>
      </c>
      <c r="E148" s="23">
        <v>1</v>
      </c>
      <c r="F148" s="23">
        <v>49.82</v>
      </c>
    </row>
    <row r="149" spans="1:6" ht="18" customHeight="1">
      <c r="A149" s="19">
        <v>772446</v>
      </c>
      <c r="B149" s="18">
        <v>52.68</v>
      </c>
      <c r="C149" s="25">
        <v>3</v>
      </c>
      <c r="D149" s="18">
        <v>3</v>
      </c>
      <c r="E149" s="18">
        <v>0</v>
      </c>
      <c r="F149" s="18">
        <v>13.18</v>
      </c>
    </row>
    <row r="150" spans="1:6" ht="18" customHeight="1">
      <c r="A150" s="24">
        <v>1584764.77</v>
      </c>
      <c r="B150" s="23">
        <v>68.39</v>
      </c>
      <c r="C150" s="26">
        <v>2</v>
      </c>
      <c r="D150" s="23">
        <v>2</v>
      </c>
      <c r="E150" s="23">
        <v>1</v>
      </c>
      <c r="F150" s="23">
        <v>35.159999999999997</v>
      </c>
    </row>
    <row r="151" spans="1:6" ht="18" customHeight="1">
      <c r="A151" s="19">
        <v>314650.34000000003</v>
      </c>
      <c r="B151" s="18">
        <v>75.56</v>
      </c>
      <c r="C151" s="25">
        <v>3</v>
      </c>
      <c r="D151" s="18">
        <v>1</v>
      </c>
      <c r="E151" s="18">
        <v>1</v>
      </c>
      <c r="F151" s="18">
        <v>47.69</v>
      </c>
    </row>
    <row r="152" spans="1:6" ht="18" customHeight="1">
      <c r="A152" s="24">
        <v>128260.15</v>
      </c>
      <c r="B152" s="23">
        <v>13.02</v>
      </c>
      <c r="C152" s="26">
        <v>7</v>
      </c>
      <c r="D152" s="23">
        <v>2</v>
      </c>
      <c r="E152" s="23">
        <v>0</v>
      </c>
      <c r="F152" s="23">
        <v>38.18</v>
      </c>
    </row>
    <row r="153" spans="1:6" ht="18" customHeight="1">
      <c r="A153" s="19">
        <v>1355956.62</v>
      </c>
      <c r="B153" s="18">
        <v>55.69</v>
      </c>
      <c r="C153" s="25">
        <v>2</v>
      </c>
      <c r="D153" s="18">
        <v>3</v>
      </c>
      <c r="E153" s="18">
        <v>0</v>
      </c>
      <c r="F153" s="18">
        <v>11.56</v>
      </c>
    </row>
    <row r="154" spans="1:6" ht="18" customHeight="1">
      <c r="A154" s="24">
        <v>473900.61</v>
      </c>
      <c r="B154" s="23">
        <v>40.130000000000003</v>
      </c>
      <c r="C154" s="26">
        <v>5</v>
      </c>
      <c r="D154" s="23">
        <v>3</v>
      </c>
      <c r="E154" s="23">
        <v>1</v>
      </c>
      <c r="F154" s="23">
        <v>18.18</v>
      </c>
    </row>
    <row r="155" spans="1:6" ht="18" customHeight="1">
      <c r="A155" s="19">
        <v>460863.78</v>
      </c>
      <c r="B155" s="18">
        <v>69.069999999999993</v>
      </c>
      <c r="C155" s="25">
        <v>5</v>
      </c>
      <c r="D155" s="18">
        <v>3</v>
      </c>
      <c r="E155" s="18">
        <v>1</v>
      </c>
      <c r="F155" s="18">
        <v>20.77</v>
      </c>
    </row>
    <row r="156" spans="1:6" ht="18" customHeight="1">
      <c r="A156" s="24">
        <v>813626.45</v>
      </c>
      <c r="B156" s="23">
        <v>34.119999999999997</v>
      </c>
      <c r="C156" s="26">
        <v>3</v>
      </c>
      <c r="D156" s="23">
        <v>1</v>
      </c>
      <c r="E156" s="23">
        <v>1</v>
      </c>
      <c r="F156" s="23">
        <v>29.36</v>
      </c>
    </row>
    <row r="157" spans="1:6" ht="18" customHeight="1">
      <c r="A157" s="19">
        <v>659236.74</v>
      </c>
      <c r="B157" s="18">
        <v>73.22</v>
      </c>
      <c r="C157" s="25">
        <v>2</v>
      </c>
      <c r="D157" s="18">
        <v>2</v>
      </c>
      <c r="E157" s="18">
        <v>1</v>
      </c>
      <c r="F157" s="18">
        <v>30.19</v>
      </c>
    </row>
    <row r="158" spans="1:6" ht="18" customHeight="1">
      <c r="A158" s="24">
        <v>2279239.1</v>
      </c>
      <c r="B158" s="23">
        <v>61.19</v>
      </c>
      <c r="C158" s="26">
        <v>1</v>
      </c>
      <c r="D158" s="23">
        <v>3</v>
      </c>
      <c r="E158" s="23">
        <v>1</v>
      </c>
      <c r="F158" s="23">
        <v>39.42</v>
      </c>
    </row>
    <row r="159" spans="1:6" ht="18" customHeight="1">
      <c r="A159" s="19">
        <v>787982.53</v>
      </c>
      <c r="B159" s="18">
        <v>77.12</v>
      </c>
      <c r="C159" s="25">
        <v>3</v>
      </c>
      <c r="D159" s="18">
        <v>1</v>
      </c>
      <c r="E159" s="18">
        <v>0</v>
      </c>
      <c r="F159" s="18">
        <v>43</v>
      </c>
    </row>
    <row r="160" spans="1:6" ht="18" customHeight="1">
      <c r="A160" s="24">
        <v>258319.18</v>
      </c>
      <c r="B160" s="23">
        <v>93.67</v>
      </c>
      <c r="C160" s="26">
        <v>5</v>
      </c>
      <c r="D160" s="23">
        <v>1</v>
      </c>
      <c r="E160" s="23">
        <v>1</v>
      </c>
      <c r="F160" s="23">
        <v>4.57</v>
      </c>
    </row>
    <row r="161" spans="1:6" ht="18" customHeight="1">
      <c r="A161" s="19">
        <v>1214723.21</v>
      </c>
      <c r="B161" s="18">
        <v>87.23</v>
      </c>
      <c r="C161" s="25">
        <v>5</v>
      </c>
      <c r="D161" s="18">
        <v>3</v>
      </c>
      <c r="E161" s="18">
        <v>1</v>
      </c>
      <c r="F161" s="18">
        <v>13.73</v>
      </c>
    </row>
    <row r="162" spans="1:6" ht="18" customHeight="1">
      <c r="A162" s="24">
        <v>658688.09</v>
      </c>
      <c r="B162" s="23">
        <v>60.43</v>
      </c>
      <c r="C162" s="26">
        <v>4</v>
      </c>
      <c r="D162" s="23">
        <v>3</v>
      </c>
      <c r="E162" s="23">
        <v>0</v>
      </c>
      <c r="F162" s="23">
        <v>17.25</v>
      </c>
    </row>
    <row r="163" spans="1:6" ht="18" customHeight="1">
      <c r="A163" s="19">
        <v>161693.59</v>
      </c>
      <c r="B163" s="18">
        <v>85.97</v>
      </c>
      <c r="C163" s="25">
        <v>6</v>
      </c>
      <c r="D163" s="18">
        <v>2</v>
      </c>
      <c r="E163" s="18">
        <v>1</v>
      </c>
      <c r="F163" s="18">
        <v>0.77</v>
      </c>
    </row>
    <row r="164" spans="1:6" ht="18" customHeight="1">
      <c r="A164" s="24">
        <v>490005.89</v>
      </c>
      <c r="B164" s="23">
        <v>23.01</v>
      </c>
      <c r="C164" s="26">
        <v>6</v>
      </c>
      <c r="D164" s="23">
        <v>2</v>
      </c>
      <c r="E164" s="23">
        <v>1</v>
      </c>
      <c r="F164" s="23">
        <v>20.94</v>
      </c>
    </row>
    <row r="165" spans="1:6" ht="18" customHeight="1">
      <c r="A165" s="19">
        <v>368272.6</v>
      </c>
      <c r="B165" s="18">
        <v>13.66</v>
      </c>
      <c r="C165" s="25">
        <v>3</v>
      </c>
      <c r="D165" s="18">
        <v>4</v>
      </c>
      <c r="E165" s="18">
        <v>0</v>
      </c>
      <c r="F165" s="18">
        <v>18</v>
      </c>
    </row>
    <row r="166" spans="1:6" ht="18" customHeight="1">
      <c r="A166" s="24">
        <v>1059850.56</v>
      </c>
      <c r="B166" s="23">
        <v>55.32</v>
      </c>
      <c r="C166" s="26">
        <v>3</v>
      </c>
      <c r="D166" s="23">
        <v>4</v>
      </c>
      <c r="E166" s="23">
        <v>1</v>
      </c>
      <c r="F166" s="23">
        <v>26.32</v>
      </c>
    </row>
    <row r="167" spans="1:6" ht="18" customHeight="1">
      <c r="A167" s="19">
        <v>794699.58</v>
      </c>
      <c r="B167" s="18">
        <v>92.82</v>
      </c>
      <c r="C167" s="25">
        <v>5</v>
      </c>
      <c r="D167" s="18">
        <v>2</v>
      </c>
      <c r="E167" s="18">
        <v>1</v>
      </c>
      <c r="F167" s="18">
        <v>5.0999999999999996</v>
      </c>
    </row>
    <row r="168" spans="1:6" ht="18" customHeight="1">
      <c r="A168" s="24">
        <v>605883.76</v>
      </c>
      <c r="B168" s="23">
        <v>70.33</v>
      </c>
      <c r="C168" s="26">
        <v>2</v>
      </c>
      <c r="D168" s="23">
        <v>2</v>
      </c>
      <c r="E168" s="23">
        <v>1</v>
      </c>
      <c r="F168" s="23">
        <v>20.76</v>
      </c>
    </row>
    <row r="169" spans="1:6" ht="18" customHeight="1">
      <c r="A169" s="19">
        <v>706859.9</v>
      </c>
      <c r="B169" s="18">
        <v>35.94</v>
      </c>
      <c r="C169" s="25">
        <v>5</v>
      </c>
      <c r="D169" s="18">
        <v>4</v>
      </c>
      <c r="E169" s="18">
        <v>0</v>
      </c>
      <c r="F169" s="18">
        <v>29.91</v>
      </c>
    </row>
    <row r="170" spans="1:6" ht="18" customHeight="1">
      <c r="A170" s="24">
        <v>423330.76</v>
      </c>
      <c r="B170" s="23">
        <v>66.849999999999994</v>
      </c>
      <c r="C170" s="26">
        <v>6</v>
      </c>
      <c r="D170" s="23">
        <v>5</v>
      </c>
      <c r="E170" s="23">
        <v>1</v>
      </c>
      <c r="F170" s="23">
        <v>40.21</v>
      </c>
    </row>
    <row r="171" spans="1:6" ht="18" customHeight="1">
      <c r="A171" s="19">
        <v>811745.17</v>
      </c>
      <c r="B171" s="18">
        <v>13.39</v>
      </c>
      <c r="C171" s="25">
        <v>4</v>
      </c>
      <c r="D171" s="18">
        <v>2</v>
      </c>
      <c r="E171" s="18">
        <v>1</v>
      </c>
      <c r="F171" s="18">
        <v>38.35</v>
      </c>
    </row>
    <row r="172" spans="1:6" ht="18" customHeight="1">
      <c r="A172" s="24">
        <v>1546927.76</v>
      </c>
      <c r="B172" s="23">
        <v>50</v>
      </c>
      <c r="C172" s="26">
        <v>4</v>
      </c>
      <c r="D172" s="23">
        <v>4</v>
      </c>
      <c r="E172" s="23">
        <v>0</v>
      </c>
      <c r="F172" s="23">
        <v>20.3</v>
      </c>
    </row>
    <row r="173" spans="1:6" ht="18" customHeight="1">
      <c r="A173" s="19">
        <v>342261.11</v>
      </c>
      <c r="B173" s="18">
        <v>30.17</v>
      </c>
      <c r="C173" s="25">
        <v>5</v>
      </c>
      <c r="D173" s="18">
        <v>3</v>
      </c>
      <c r="E173" s="18">
        <v>1</v>
      </c>
      <c r="F173" s="18">
        <v>19.54</v>
      </c>
    </row>
    <row r="174" spans="1:6" ht="18" customHeight="1">
      <c r="A174" s="24">
        <v>630716.1</v>
      </c>
      <c r="B174" s="23">
        <v>14.18</v>
      </c>
      <c r="C174" s="26">
        <v>2</v>
      </c>
      <c r="D174" s="23">
        <v>2</v>
      </c>
      <c r="E174" s="23">
        <v>1</v>
      </c>
      <c r="F174" s="23">
        <v>1.97</v>
      </c>
    </row>
    <row r="175" spans="1:6" ht="18" customHeight="1">
      <c r="A175" s="19">
        <v>290685.43</v>
      </c>
      <c r="B175" s="18">
        <v>31.24</v>
      </c>
      <c r="C175" s="25">
        <v>4</v>
      </c>
      <c r="D175" s="18">
        <v>3</v>
      </c>
      <c r="E175" s="18">
        <v>0</v>
      </c>
      <c r="F175" s="18">
        <v>4.22</v>
      </c>
    </row>
    <row r="176" spans="1:6" ht="18" customHeight="1">
      <c r="A176" s="24">
        <v>243062.99</v>
      </c>
      <c r="B176" s="23">
        <v>71.41</v>
      </c>
      <c r="C176" s="26">
        <v>5</v>
      </c>
      <c r="D176" s="23">
        <v>3</v>
      </c>
      <c r="E176" s="23">
        <v>1</v>
      </c>
      <c r="F176" s="23">
        <v>43.63</v>
      </c>
    </row>
    <row r="177" spans="1:6" ht="18" customHeight="1">
      <c r="A177" s="19">
        <v>473281.02</v>
      </c>
      <c r="B177" s="18">
        <v>56.85</v>
      </c>
      <c r="C177" s="25">
        <v>4</v>
      </c>
      <c r="D177" s="18">
        <v>2</v>
      </c>
      <c r="E177" s="18">
        <v>1</v>
      </c>
      <c r="F177" s="18">
        <v>40.31</v>
      </c>
    </row>
    <row r="178" spans="1:6" ht="18" customHeight="1">
      <c r="A178" s="24">
        <v>1216567.5900000001</v>
      </c>
      <c r="B178" s="23">
        <v>11.99</v>
      </c>
      <c r="C178" s="26">
        <v>2</v>
      </c>
      <c r="D178" s="23">
        <v>1</v>
      </c>
      <c r="E178" s="23">
        <v>1</v>
      </c>
      <c r="F178" s="23">
        <v>1.1499999999999999</v>
      </c>
    </row>
    <row r="179" spans="1:6" ht="18" customHeight="1">
      <c r="A179" s="19">
        <v>468165.23</v>
      </c>
      <c r="B179" s="18">
        <v>44.83</v>
      </c>
      <c r="C179" s="25">
        <v>5</v>
      </c>
      <c r="D179" s="18">
        <v>4</v>
      </c>
      <c r="E179" s="18">
        <v>0</v>
      </c>
      <c r="F179" s="18">
        <v>44.15</v>
      </c>
    </row>
    <row r="180" spans="1:6" ht="18" customHeight="1">
      <c r="A180" s="24">
        <v>1085658.92</v>
      </c>
      <c r="B180" s="23">
        <v>73.930000000000007</v>
      </c>
      <c r="C180" s="26">
        <v>3</v>
      </c>
      <c r="D180" s="23">
        <v>4</v>
      </c>
      <c r="E180" s="23">
        <v>1</v>
      </c>
      <c r="F180" s="23">
        <v>30.73</v>
      </c>
    </row>
    <row r="181" spans="1:6" ht="18" customHeight="1">
      <c r="A181" s="19">
        <v>399657.51</v>
      </c>
      <c r="B181" s="18">
        <v>91.14</v>
      </c>
      <c r="C181" s="25">
        <v>5</v>
      </c>
      <c r="D181" s="18">
        <v>1</v>
      </c>
      <c r="E181" s="18">
        <v>1</v>
      </c>
      <c r="F181" s="18">
        <v>40.119999999999997</v>
      </c>
    </row>
    <row r="182" spans="1:6" ht="18" customHeight="1">
      <c r="A182" s="24">
        <v>2371357.81</v>
      </c>
      <c r="B182" s="23">
        <v>84.32</v>
      </c>
      <c r="C182" s="26">
        <v>2</v>
      </c>
      <c r="D182" s="23">
        <v>3</v>
      </c>
      <c r="E182" s="23">
        <v>0</v>
      </c>
      <c r="F182" s="23">
        <v>25.18</v>
      </c>
    </row>
    <row r="183" spans="1:6" ht="18" customHeight="1">
      <c r="A183" s="19">
        <v>338326.94</v>
      </c>
      <c r="B183" s="18">
        <v>10.130000000000001</v>
      </c>
      <c r="C183" s="25">
        <v>5</v>
      </c>
      <c r="D183" s="18">
        <v>2</v>
      </c>
      <c r="E183" s="18">
        <v>1</v>
      </c>
      <c r="F183" s="18">
        <v>7.62</v>
      </c>
    </row>
    <row r="184" spans="1:6" ht="18" customHeight="1">
      <c r="A184" s="24">
        <v>3380347.97</v>
      </c>
      <c r="B184" s="23">
        <v>28.59</v>
      </c>
      <c r="C184" s="26">
        <v>3</v>
      </c>
      <c r="D184" s="23">
        <v>3</v>
      </c>
      <c r="E184" s="23">
        <v>0</v>
      </c>
      <c r="F184" s="23">
        <v>17.91</v>
      </c>
    </row>
    <row r="185" spans="1:6" ht="18" customHeight="1">
      <c r="A185" s="19">
        <v>577210.62</v>
      </c>
      <c r="B185" s="18">
        <v>27.66</v>
      </c>
      <c r="C185" s="25">
        <v>5</v>
      </c>
      <c r="D185" s="18">
        <v>5</v>
      </c>
      <c r="E185" s="18">
        <v>0</v>
      </c>
      <c r="F185" s="18">
        <v>22.56</v>
      </c>
    </row>
    <row r="186" spans="1:6" ht="18" customHeight="1">
      <c r="A186" s="24">
        <v>395178.63</v>
      </c>
      <c r="B186" s="23">
        <v>45.11</v>
      </c>
      <c r="C186" s="26">
        <v>3</v>
      </c>
      <c r="D186" s="23">
        <v>2</v>
      </c>
      <c r="E186" s="23">
        <v>0</v>
      </c>
      <c r="F186" s="23">
        <v>37.72</v>
      </c>
    </row>
    <row r="187" spans="1:6" ht="18" customHeight="1">
      <c r="A187" s="19">
        <v>130355.81</v>
      </c>
      <c r="B187" s="18">
        <v>64.89</v>
      </c>
      <c r="C187" s="25">
        <v>8</v>
      </c>
      <c r="D187" s="18">
        <v>2</v>
      </c>
      <c r="E187" s="18">
        <v>1</v>
      </c>
      <c r="F187" s="18">
        <v>40.65</v>
      </c>
    </row>
    <row r="188" spans="1:6" ht="18" customHeight="1">
      <c r="A188" s="24">
        <v>662111.39</v>
      </c>
      <c r="B188" s="23">
        <v>23.01</v>
      </c>
      <c r="C188" s="26">
        <v>4</v>
      </c>
      <c r="D188" s="23">
        <v>4</v>
      </c>
      <c r="E188" s="23">
        <v>1</v>
      </c>
      <c r="F188" s="23">
        <v>37.1</v>
      </c>
    </row>
    <row r="189" spans="1:6" ht="18" customHeight="1">
      <c r="A189" s="19">
        <v>577988.96</v>
      </c>
      <c r="B189" s="18">
        <v>87.83</v>
      </c>
      <c r="C189" s="25">
        <v>3</v>
      </c>
      <c r="D189" s="18">
        <v>4</v>
      </c>
      <c r="E189" s="18">
        <v>0</v>
      </c>
      <c r="F189" s="18">
        <v>23.88</v>
      </c>
    </row>
    <row r="190" spans="1:6" ht="18" customHeight="1">
      <c r="A190" s="24">
        <v>1014379.86</v>
      </c>
      <c r="B190" s="23">
        <v>76.05</v>
      </c>
      <c r="C190" s="26">
        <v>3</v>
      </c>
      <c r="D190" s="23">
        <v>3</v>
      </c>
      <c r="E190" s="23">
        <v>1</v>
      </c>
      <c r="F190" s="23">
        <v>33.22</v>
      </c>
    </row>
    <row r="191" spans="1:6" ht="18" customHeight="1">
      <c r="A191" s="19">
        <v>658452.86</v>
      </c>
      <c r="B191" s="18">
        <v>45.64</v>
      </c>
      <c r="C191" s="25">
        <v>4</v>
      </c>
      <c r="D191" s="18">
        <v>4</v>
      </c>
      <c r="E191" s="18">
        <v>1</v>
      </c>
      <c r="F191" s="18">
        <v>14.85</v>
      </c>
    </row>
    <row r="192" spans="1:6" ht="18" customHeight="1">
      <c r="A192" s="24">
        <v>632661.22</v>
      </c>
      <c r="B192" s="23">
        <v>59.64</v>
      </c>
      <c r="C192" s="26">
        <v>3</v>
      </c>
      <c r="D192" s="23">
        <v>5</v>
      </c>
      <c r="E192" s="23">
        <v>1</v>
      </c>
      <c r="F192" s="23">
        <v>49.39</v>
      </c>
    </row>
    <row r="193" spans="1:6" ht="18" customHeight="1">
      <c r="A193" s="19">
        <v>1192930.8899999999</v>
      </c>
      <c r="B193" s="18">
        <v>56.05</v>
      </c>
      <c r="C193" s="25">
        <v>1</v>
      </c>
      <c r="D193" s="18">
        <v>3</v>
      </c>
      <c r="E193" s="18">
        <v>1</v>
      </c>
      <c r="F193" s="18">
        <v>8.49</v>
      </c>
    </row>
    <row r="194" spans="1:6" ht="18" customHeight="1">
      <c r="A194" s="24">
        <v>798980.38</v>
      </c>
      <c r="B194" s="23">
        <v>59.49</v>
      </c>
      <c r="C194" s="26">
        <v>1</v>
      </c>
      <c r="D194" s="23">
        <v>1</v>
      </c>
      <c r="E194" s="23">
        <v>1</v>
      </c>
      <c r="F194" s="23">
        <v>36.21</v>
      </c>
    </row>
    <row r="195" spans="1:6" ht="18" customHeight="1">
      <c r="A195" s="19">
        <v>303353.21000000002</v>
      </c>
      <c r="B195" s="18">
        <v>83.11</v>
      </c>
      <c r="C195" s="25">
        <v>5</v>
      </c>
      <c r="D195" s="18">
        <v>3</v>
      </c>
      <c r="E195" s="18">
        <v>1</v>
      </c>
      <c r="F195" s="18">
        <v>7.83</v>
      </c>
    </row>
    <row r="196" spans="1:6" ht="18" customHeight="1">
      <c r="A196" s="24">
        <v>828643.18</v>
      </c>
      <c r="B196" s="23">
        <v>27.01</v>
      </c>
      <c r="C196" s="26">
        <v>4</v>
      </c>
      <c r="D196" s="23">
        <v>4</v>
      </c>
      <c r="E196" s="23">
        <v>1</v>
      </c>
      <c r="F196" s="23">
        <v>14.12</v>
      </c>
    </row>
    <row r="197" spans="1:6" ht="18" customHeight="1">
      <c r="A197" s="19">
        <v>751513.13</v>
      </c>
      <c r="B197" s="18">
        <v>68.12</v>
      </c>
      <c r="C197" s="25">
        <v>3</v>
      </c>
      <c r="D197" s="18">
        <v>2</v>
      </c>
      <c r="E197" s="18">
        <v>0</v>
      </c>
      <c r="F197" s="18">
        <v>37.47</v>
      </c>
    </row>
    <row r="198" spans="1:6" ht="18" customHeight="1">
      <c r="A198" s="24">
        <v>938986.83</v>
      </c>
      <c r="B198" s="23">
        <v>19.100000000000001</v>
      </c>
      <c r="C198" s="26">
        <v>1</v>
      </c>
      <c r="D198" s="23">
        <v>1</v>
      </c>
      <c r="E198" s="23">
        <v>1</v>
      </c>
      <c r="F198" s="23">
        <v>36.479999999999997</v>
      </c>
    </row>
    <row r="199" spans="1:6" ht="18" customHeight="1">
      <c r="A199" s="19">
        <v>549967.35</v>
      </c>
      <c r="B199" s="18">
        <v>49.03</v>
      </c>
      <c r="C199" s="25">
        <v>4</v>
      </c>
      <c r="D199" s="18">
        <v>2</v>
      </c>
      <c r="E199" s="18">
        <v>1</v>
      </c>
      <c r="F199" s="18">
        <v>6.31</v>
      </c>
    </row>
    <row r="200" spans="1:6" ht="18" customHeight="1">
      <c r="A200" s="24">
        <v>249847.33</v>
      </c>
      <c r="B200" s="23">
        <v>64.05</v>
      </c>
      <c r="C200" s="26">
        <v>10</v>
      </c>
      <c r="D200" s="23">
        <v>1</v>
      </c>
      <c r="E200" s="23">
        <v>1</v>
      </c>
      <c r="F200" s="23">
        <v>33.96</v>
      </c>
    </row>
    <row r="201" spans="1:6" ht="18" customHeight="1">
      <c r="A201" s="19">
        <v>291673.75</v>
      </c>
      <c r="B201" s="18">
        <v>11.06</v>
      </c>
      <c r="C201" s="25">
        <v>4</v>
      </c>
      <c r="D201" s="18">
        <v>4</v>
      </c>
      <c r="E201" s="18">
        <v>1</v>
      </c>
      <c r="F201" s="18">
        <v>10.27</v>
      </c>
    </row>
    <row r="202" spans="1:6" ht="18" customHeight="1">
      <c r="A202" s="24">
        <v>362389.76000000001</v>
      </c>
      <c r="B202" s="23">
        <v>19.190000000000001</v>
      </c>
      <c r="C202" s="26">
        <v>6</v>
      </c>
      <c r="D202" s="23">
        <v>1</v>
      </c>
      <c r="E202" s="23">
        <v>1</v>
      </c>
      <c r="F202" s="23">
        <v>48.65</v>
      </c>
    </row>
    <row r="203" spans="1:6" ht="18" customHeight="1">
      <c r="A203" s="19">
        <v>256653.88</v>
      </c>
      <c r="B203" s="18">
        <v>17.760000000000002</v>
      </c>
      <c r="C203" s="25">
        <v>8</v>
      </c>
      <c r="D203" s="18">
        <v>4</v>
      </c>
      <c r="E203" s="18">
        <v>1</v>
      </c>
      <c r="F203" s="18">
        <v>30.19</v>
      </c>
    </row>
    <row r="204" spans="1:6" ht="18" customHeight="1">
      <c r="A204" s="24">
        <v>199741.62</v>
      </c>
      <c r="B204" s="23">
        <v>41.85</v>
      </c>
      <c r="C204" s="26">
        <v>5</v>
      </c>
      <c r="D204" s="23">
        <v>2</v>
      </c>
      <c r="E204" s="23">
        <v>0</v>
      </c>
      <c r="F204" s="23">
        <v>0.27</v>
      </c>
    </row>
    <row r="205" spans="1:6" ht="18" customHeight="1">
      <c r="A205" s="19">
        <v>491508.5</v>
      </c>
      <c r="B205" s="18">
        <v>62.87</v>
      </c>
      <c r="C205" s="25">
        <v>5</v>
      </c>
      <c r="D205" s="18">
        <v>5</v>
      </c>
      <c r="E205" s="18">
        <v>1</v>
      </c>
      <c r="F205" s="18">
        <v>10.5</v>
      </c>
    </row>
    <row r="206" spans="1:6" ht="18" customHeight="1">
      <c r="A206" s="24">
        <v>1387929.37</v>
      </c>
      <c r="B206" s="23">
        <v>94.66</v>
      </c>
      <c r="C206" s="26">
        <v>2</v>
      </c>
      <c r="D206" s="23">
        <v>3</v>
      </c>
      <c r="E206" s="23">
        <v>1</v>
      </c>
      <c r="F206" s="23">
        <v>11.56</v>
      </c>
    </row>
    <row r="207" spans="1:6" ht="18" customHeight="1">
      <c r="A207" s="19">
        <v>1265804.51</v>
      </c>
      <c r="B207" s="18">
        <v>31.6</v>
      </c>
      <c r="C207" s="25">
        <v>3</v>
      </c>
      <c r="D207" s="18">
        <v>1</v>
      </c>
      <c r="E207" s="18">
        <v>1</v>
      </c>
      <c r="F207" s="18">
        <v>12.43</v>
      </c>
    </row>
    <row r="208" spans="1:6" ht="18" customHeight="1">
      <c r="A208" s="24">
        <v>932838.04</v>
      </c>
      <c r="B208" s="23">
        <v>21.56</v>
      </c>
      <c r="C208" s="26">
        <v>4</v>
      </c>
      <c r="D208" s="23">
        <v>4</v>
      </c>
      <c r="E208" s="23">
        <v>1</v>
      </c>
      <c r="F208" s="23">
        <v>27.9</v>
      </c>
    </row>
    <row r="209" spans="1:6" ht="18" customHeight="1">
      <c r="A209" s="19">
        <v>173504.79</v>
      </c>
      <c r="B209" s="18">
        <v>45.25</v>
      </c>
      <c r="C209" s="25">
        <v>5</v>
      </c>
      <c r="D209" s="18">
        <v>3</v>
      </c>
      <c r="E209" s="18">
        <v>1</v>
      </c>
      <c r="F209" s="18">
        <v>10.36</v>
      </c>
    </row>
    <row r="210" spans="1:6" ht="18" customHeight="1">
      <c r="A210" s="24">
        <v>376507.29</v>
      </c>
      <c r="B210" s="23">
        <v>22.41</v>
      </c>
      <c r="C210" s="26">
        <v>3</v>
      </c>
      <c r="D210" s="23">
        <v>3</v>
      </c>
      <c r="E210" s="23">
        <v>1</v>
      </c>
      <c r="F210" s="23">
        <v>20.7</v>
      </c>
    </row>
    <row r="211" spans="1:6" ht="18" customHeight="1">
      <c r="A211" s="19">
        <v>900232.98</v>
      </c>
      <c r="B211" s="18">
        <v>12.09</v>
      </c>
      <c r="C211" s="25">
        <v>3</v>
      </c>
      <c r="D211" s="18">
        <v>5</v>
      </c>
      <c r="E211" s="18">
        <v>0</v>
      </c>
      <c r="F211" s="18">
        <v>8.75</v>
      </c>
    </row>
    <row r="212" spans="1:6" ht="18" customHeight="1">
      <c r="A212" s="24">
        <v>2698675.27</v>
      </c>
      <c r="B212" s="23">
        <v>57.94</v>
      </c>
      <c r="C212" s="26">
        <v>1</v>
      </c>
      <c r="D212" s="23">
        <v>3</v>
      </c>
      <c r="E212" s="23">
        <v>0</v>
      </c>
      <c r="F212" s="23">
        <v>33.380000000000003</v>
      </c>
    </row>
    <row r="213" spans="1:6" ht="18" customHeight="1">
      <c r="A213" s="19">
        <v>900239.68</v>
      </c>
      <c r="B213" s="18">
        <v>84.76</v>
      </c>
      <c r="C213" s="25">
        <v>3</v>
      </c>
      <c r="D213" s="18">
        <v>4</v>
      </c>
      <c r="E213" s="18">
        <v>1</v>
      </c>
      <c r="F213" s="18">
        <v>28.48</v>
      </c>
    </row>
    <row r="214" spans="1:6" ht="18" customHeight="1">
      <c r="A214" s="24">
        <v>6669307.6100000003</v>
      </c>
      <c r="B214" s="23">
        <v>83.17</v>
      </c>
      <c r="C214" s="26">
        <v>3</v>
      </c>
      <c r="D214" s="23">
        <v>2</v>
      </c>
      <c r="E214" s="23">
        <v>0</v>
      </c>
      <c r="F214" s="23">
        <v>31.47</v>
      </c>
    </row>
    <row r="215" spans="1:6" ht="18" customHeight="1">
      <c r="A215" s="19">
        <v>930913.85</v>
      </c>
      <c r="B215" s="18">
        <v>18.57</v>
      </c>
      <c r="C215" s="25">
        <v>3</v>
      </c>
      <c r="D215" s="18">
        <v>4</v>
      </c>
      <c r="E215" s="18">
        <v>1</v>
      </c>
      <c r="F215" s="18">
        <v>48.37</v>
      </c>
    </row>
    <row r="216" spans="1:6" ht="18" customHeight="1">
      <c r="A216" s="24">
        <v>783793.97</v>
      </c>
      <c r="B216" s="23">
        <v>22.54</v>
      </c>
      <c r="C216" s="26">
        <v>5</v>
      </c>
      <c r="D216" s="23">
        <v>1</v>
      </c>
      <c r="E216" s="23">
        <v>1</v>
      </c>
      <c r="F216" s="23">
        <v>20.03</v>
      </c>
    </row>
    <row r="217" spans="1:6" ht="18" customHeight="1">
      <c r="A217" s="19">
        <v>1171492.07</v>
      </c>
      <c r="B217" s="18">
        <v>51.75</v>
      </c>
      <c r="C217" s="25">
        <v>3</v>
      </c>
      <c r="D217" s="18">
        <v>4</v>
      </c>
      <c r="E217" s="18">
        <v>1</v>
      </c>
      <c r="F217" s="18">
        <v>10.85</v>
      </c>
    </row>
    <row r="218" spans="1:6" ht="18" customHeight="1">
      <c r="A218" s="24">
        <v>586188.59</v>
      </c>
      <c r="B218" s="23">
        <v>41.26</v>
      </c>
      <c r="C218" s="26">
        <v>5</v>
      </c>
      <c r="D218" s="23">
        <v>2</v>
      </c>
      <c r="E218" s="23">
        <v>1</v>
      </c>
      <c r="F218" s="23">
        <v>49.94</v>
      </c>
    </row>
    <row r="219" spans="1:6" ht="18" customHeight="1">
      <c r="A219" s="19">
        <v>410259.06</v>
      </c>
      <c r="B219" s="18">
        <v>69.760000000000005</v>
      </c>
      <c r="C219" s="25">
        <v>4</v>
      </c>
      <c r="D219" s="18">
        <v>2</v>
      </c>
      <c r="E219" s="18">
        <v>1</v>
      </c>
      <c r="F219" s="18">
        <v>3</v>
      </c>
    </row>
    <row r="220" spans="1:6" ht="18" customHeight="1">
      <c r="A220" s="24">
        <v>1563182.48</v>
      </c>
      <c r="B220" s="23">
        <v>52.07</v>
      </c>
      <c r="C220" s="26">
        <v>2</v>
      </c>
      <c r="D220" s="23">
        <v>5</v>
      </c>
      <c r="E220" s="23">
        <v>1</v>
      </c>
      <c r="F220" s="23">
        <v>40.54</v>
      </c>
    </row>
    <row r="221" spans="1:6" ht="18" customHeight="1">
      <c r="A221" s="19">
        <v>311766.71999999997</v>
      </c>
      <c r="B221" s="18">
        <v>11.71</v>
      </c>
      <c r="C221" s="25">
        <v>4</v>
      </c>
      <c r="D221" s="18">
        <v>2</v>
      </c>
      <c r="E221" s="18">
        <v>1</v>
      </c>
      <c r="F221" s="18">
        <v>8.19</v>
      </c>
    </row>
    <row r="222" spans="1:6" ht="18" customHeight="1">
      <c r="A222" s="24">
        <v>245732.47</v>
      </c>
      <c r="B222" s="23">
        <v>34.19</v>
      </c>
      <c r="C222" s="26">
        <v>7</v>
      </c>
      <c r="D222" s="23">
        <v>2</v>
      </c>
      <c r="E222" s="23">
        <v>1</v>
      </c>
      <c r="F222" s="23">
        <v>33.270000000000003</v>
      </c>
    </row>
    <row r="223" spans="1:6" ht="18" customHeight="1">
      <c r="A223" s="19">
        <v>296364.07</v>
      </c>
      <c r="B223" s="18">
        <v>86.63</v>
      </c>
      <c r="C223" s="25">
        <v>5</v>
      </c>
      <c r="D223" s="18">
        <v>3</v>
      </c>
      <c r="E223" s="18">
        <v>1</v>
      </c>
      <c r="F223" s="18">
        <v>23.74</v>
      </c>
    </row>
    <row r="224" spans="1:6" ht="18" customHeight="1">
      <c r="A224" s="24">
        <v>694197.79</v>
      </c>
      <c r="B224" s="23">
        <v>53.48</v>
      </c>
      <c r="C224" s="26">
        <v>3</v>
      </c>
      <c r="D224" s="23">
        <v>5</v>
      </c>
      <c r="E224" s="23">
        <v>0</v>
      </c>
      <c r="F224" s="23">
        <v>41.97</v>
      </c>
    </row>
    <row r="225" spans="1:6" ht="18" customHeight="1">
      <c r="A225" s="19">
        <v>1135842.23</v>
      </c>
      <c r="B225" s="18">
        <v>77.83</v>
      </c>
      <c r="C225" s="25">
        <v>7</v>
      </c>
      <c r="D225" s="18">
        <v>3</v>
      </c>
      <c r="E225" s="18">
        <v>0</v>
      </c>
      <c r="F225" s="18">
        <v>36.58</v>
      </c>
    </row>
    <row r="226" spans="1:6" ht="18" customHeight="1">
      <c r="A226" s="24">
        <v>161675.5</v>
      </c>
      <c r="B226" s="23">
        <v>44.2</v>
      </c>
      <c r="C226" s="26">
        <v>4</v>
      </c>
      <c r="D226" s="23">
        <v>1</v>
      </c>
      <c r="E226" s="23">
        <v>0</v>
      </c>
      <c r="F226" s="23">
        <v>8.6999999999999993</v>
      </c>
    </row>
    <row r="227" spans="1:6" ht="18" customHeight="1">
      <c r="A227" s="19">
        <v>997636.07</v>
      </c>
      <c r="B227" s="18">
        <v>67.540000000000006</v>
      </c>
      <c r="C227" s="25">
        <v>3</v>
      </c>
      <c r="D227" s="18">
        <v>4</v>
      </c>
      <c r="E227" s="18">
        <v>1</v>
      </c>
      <c r="F227" s="18">
        <v>33.299999999999997</v>
      </c>
    </row>
    <row r="228" spans="1:6" ht="18" customHeight="1">
      <c r="A228" s="24">
        <v>125569.04</v>
      </c>
      <c r="B228" s="23">
        <v>24.37</v>
      </c>
      <c r="C228" s="26">
        <v>6</v>
      </c>
      <c r="D228" s="23">
        <v>3</v>
      </c>
      <c r="E228" s="23">
        <v>0</v>
      </c>
      <c r="F228" s="23">
        <v>10.93</v>
      </c>
    </row>
    <row r="229" spans="1:6" ht="18" customHeight="1">
      <c r="A229" s="19">
        <v>298762.13</v>
      </c>
      <c r="B229" s="18">
        <v>72.61</v>
      </c>
      <c r="C229" s="25">
        <v>5</v>
      </c>
      <c r="D229" s="18">
        <v>5</v>
      </c>
      <c r="E229" s="18">
        <v>1</v>
      </c>
      <c r="F229" s="18">
        <v>8.5500000000000007</v>
      </c>
    </row>
    <row r="230" spans="1:6" ht="18" customHeight="1">
      <c r="A230" s="24">
        <v>1270292.9099999999</v>
      </c>
      <c r="B230" s="23">
        <v>76.86</v>
      </c>
      <c r="C230" s="26">
        <v>3</v>
      </c>
      <c r="D230" s="23">
        <v>3</v>
      </c>
      <c r="E230" s="23">
        <v>1</v>
      </c>
      <c r="F230" s="23">
        <v>4.3</v>
      </c>
    </row>
    <row r="231" spans="1:6" ht="18" customHeight="1">
      <c r="A231" s="19">
        <v>412144.83</v>
      </c>
      <c r="B231" s="18">
        <v>17.66</v>
      </c>
      <c r="C231" s="25">
        <v>5</v>
      </c>
      <c r="D231" s="18">
        <v>3</v>
      </c>
      <c r="E231" s="18">
        <v>0</v>
      </c>
      <c r="F231" s="18">
        <v>5.77</v>
      </c>
    </row>
    <row r="232" spans="1:6" ht="18" customHeight="1">
      <c r="A232" s="24">
        <v>346189.24</v>
      </c>
      <c r="B232" s="23">
        <v>25.58</v>
      </c>
      <c r="C232" s="26">
        <v>3</v>
      </c>
      <c r="D232" s="23">
        <v>3</v>
      </c>
      <c r="E232" s="23">
        <v>0</v>
      </c>
      <c r="F232" s="23">
        <v>35.22</v>
      </c>
    </row>
    <row r="233" spans="1:6" ht="18" customHeight="1">
      <c r="A233" s="19">
        <v>645429.06999999995</v>
      </c>
      <c r="B233" s="18">
        <v>49.35</v>
      </c>
      <c r="C233" s="25">
        <v>2</v>
      </c>
      <c r="D233" s="18">
        <v>3</v>
      </c>
      <c r="E233" s="18">
        <v>1</v>
      </c>
      <c r="F233" s="18">
        <v>49.61</v>
      </c>
    </row>
    <row r="234" spans="1:6" ht="18" customHeight="1">
      <c r="A234" s="24">
        <v>745242.01</v>
      </c>
      <c r="B234" s="23">
        <v>64.180000000000007</v>
      </c>
      <c r="C234" s="26">
        <v>4</v>
      </c>
      <c r="D234" s="23">
        <v>4</v>
      </c>
      <c r="E234" s="23">
        <v>1</v>
      </c>
      <c r="F234" s="23">
        <v>33.82</v>
      </c>
    </row>
    <row r="235" spans="1:6" ht="18" customHeight="1">
      <c r="A235" s="19">
        <v>426414.75</v>
      </c>
      <c r="B235" s="18">
        <v>64.19</v>
      </c>
      <c r="C235" s="25">
        <v>3</v>
      </c>
      <c r="D235" s="18">
        <v>1</v>
      </c>
      <c r="E235" s="18">
        <v>1</v>
      </c>
      <c r="F235" s="18">
        <v>35.450000000000003</v>
      </c>
    </row>
    <row r="236" spans="1:6" ht="18" customHeight="1">
      <c r="A236" s="24">
        <v>564435.16</v>
      </c>
      <c r="B236" s="23">
        <v>66.8</v>
      </c>
      <c r="C236" s="26">
        <v>4</v>
      </c>
      <c r="D236" s="23">
        <v>1</v>
      </c>
      <c r="E236" s="23">
        <v>1</v>
      </c>
      <c r="F236" s="23">
        <v>39.159999999999997</v>
      </c>
    </row>
    <row r="237" spans="1:6" ht="18" customHeight="1">
      <c r="A237" s="19">
        <v>339620.34</v>
      </c>
      <c r="B237" s="18">
        <v>70.73</v>
      </c>
      <c r="C237" s="25">
        <v>6</v>
      </c>
      <c r="D237" s="18">
        <v>2</v>
      </c>
      <c r="E237" s="18">
        <v>0</v>
      </c>
      <c r="F237" s="18">
        <v>44.46</v>
      </c>
    </row>
    <row r="238" spans="1:6" ht="18" customHeight="1">
      <c r="A238" s="24">
        <v>335288.09999999998</v>
      </c>
      <c r="B238" s="23">
        <v>52.99</v>
      </c>
      <c r="C238" s="26">
        <v>4</v>
      </c>
      <c r="D238" s="23">
        <v>3</v>
      </c>
      <c r="E238" s="23">
        <v>1</v>
      </c>
      <c r="F238" s="23">
        <v>13.46</v>
      </c>
    </row>
    <row r="239" spans="1:6" ht="18" customHeight="1">
      <c r="A239" s="19">
        <v>2392272.16</v>
      </c>
      <c r="B239" s="18">
        <v>58.86</v>
      </c>
      <c r="C239" s="25">
        <v>3</v>
      </c>
      <c r="D239" s="18">
        <v>2</v>
      </c>
      <c r="E239" s="18">
        <v>1</v>
      </c>
      <c r="F239" s="18">
        <v>30.27</v>
      </c>
    </row>
    <row r="240" spans="1:6" ht="18" customHeight="1">
      <c r="A240" s="24">
        <v>2900377.37</v>
      </c>
      <c r="B240" s="23">
        <v>10.71</v>
      </c>
      <c r="C240" s="26">
        <v>1</v>
      </c>
      <c r="D240" s="23">
        <v>2</v>
      </c>
      <c r="E240" s="23">
        <v>1</v>
      </c>
      <c r="F240" s="23">
        <v>10.91</v>
      </c>
    </row>
    <row r="241" spans="1:6" ht="18" customHeight="1">
      <c r="A241" s="19">
        <v>196084.73</v>
      </c>
      <c r="B241" s="18">
        <v>24.16</v>
      </c>
      <c r="C241" s="25">
        <v>3</v>
      </c>
      <c r="D241" s="18">
        <v>5</v>
      </c>
      <c r="E241" s="18">
        <v>0</v>
      </c>
      <c r="F241" s="18">
        <v>26.33</v>
      </c>
    </row>
    <row r="242" spans="1:6" ht="18" customHeight="1">
      <c r="A242" s="24">
        <v>739153.06</v>
      </c>
      <c r="B242" s="23">
        <v>52.38</v>
      </c>
      <c r="C242" s="26">
        <v>3</v>
      </c>
      <c r="D242" s="23">
        <v>1</v>
      </c>
      <c r="E242" s="23">
        <v>1</v>
      </c>
      <c r="F242" s="23">
        <v>10.51</v>
      </c>
    </row>
    <row r="243" spans="1:6" ht="18" customHeight="1">
      <c r="A243" s="19">
        <v>222163.45</v>
      </c>
      <c r="B243" s="18">
        <v>73.38</v>
      </c>
      <c r="C243" s="25">
        <v>6</v>
      </c>
      <c r="D243" s="18">
        <v>5</v>
      </c>
      <c r="E243" s="18">
        <v>1</v>
      </c>
      <c r="F243" s="18">
        <v>3.29</v>
      </c>
    </row>
    <row r="244" spans="1:6" ht="18" customHeight="1">
      <c r="A244" s="24">
        <v>1653347.9</v>
      </c>
      <c r="B244" s="23">
        <v>78.760000000000005</v>
      </c>
      <c r="C244" s="26">
        <v>2</v>
      </c>
      <c r="D244" s="23">
        <v>5</v>
      </c>
      <c r="E244" s="23">
        <v>0</v>
      </c>
      <c r="F244" s="23">
        <v>4.51</v>
      </c>
    </row>
    <row r="245" spans="1:6" ht="18" customHeight="1">
      <c r="A245" s="19">
        <v>616208.32999999996</v>
      </c>
      <c r="B245" s="18">
        <v>71.959999999999994</v>
      </c>
      <c r="C245" s="25">
        <v>2</v>
      </c>
      <c r="D245" s="18">
        <v>3</v>
      </c>
      <c r="E245" s="18">
        <v>1</v>
      </c>
      <c r="F245" s="18">
        <v>48.82</v>
      </c>
    </row>
    <row r="246" spans="1:6" ht="18" customHeight="1">
      <c r="A246" s="24">
        <v>616951.59</v>
      </c>
      <c r="B246" s="23">
        <v>51.34</v>
      </c>
      <c r="C246" s="26">
        <v>3</v>
      </c>
      <c r="D246" s="23">
        <v>1</v>
      </c>
      <c r="E246" s="23">
        <v>0</v>
      </c>
      <c r="F246" s="23">
        <v>0.4</v>
      </c>
    </row>
    <row r="247" spans="1:6" ht="18" customHeight="1">
      <c r="A247" s="19">
        <v>894821.99</v>
      </c>
      <c r="B247" s="18">
        <v>33.909999999999997</v>
      </c>
      <c r="C247" s="25">
        <v>3</v>
      </c>
      <c r="D247" s="18">
        <v>2</v>
      </c>
      <c r="E247" s="18">
        <v>0</v>
      </c>
      <c r="F247" s="18">
        <v>34.54</v>
      </c>
    </row>
    <row r="248" spans="1:6" ht="18" customHeight="1">
      <c r="A248" s="24">
        <v>833308.13</v>
      </c>
      <c r="B248" s="23">
        <v>47.8</v>
      </c>
      <c r="C248" s="26">
        <v>4</v>
      </c>
      <c r="D248" s="23">
        <v>5</v>
      </c>
      <c r="E248" s="23">
        <v>1</v>
      </c>
      <c r="F248" s="23">
        <v>44.38</v>
      </c>
    </row>
    <row r="249" spans="1:6" ht="18" customHeight="1">
      <c r="A249" s="19">
        <v>482470.46</v>
      </c>
      <c r="B249" s="18">
        <v>10.79</v>
      </c>
      <c r="C249" s="25">
        <v>2</v>
      </c>
      <c r="D249" s="18">
        <v>5</v>
      </c>
      <c r="E249" s="18">
        <v>1</v>
      </c>
      <c r="F249" s="18">
        <v>19.75</v>
      </c>
    </row>
    <row r="250" spans="1:6" ht="18" customHeight="1">
      <c r="A250" s="24">
        <v>540736.28</v>
      </c>
      <c r="B250" s="23">
        <v>60.83</v>
      </c>
      <c r="C250" s="26">
        <v>3</v>
      </c>
      <c r="D250" s="23">
        <v>5</v>
      </c>
      <c r="E250" s="23">
        <v>0</v>
      </c>
      <c r="F250" s="23">
        <v>35.43</v>
      </c>
    </row>
    <row r="251" spans="1:6" ht="18" customHeight="1">
      <c r="A251" s="19">
        <v>745556.08</v>
      </c>
      <c r="B251" s="18">
        <v>16.34</v>
      </c>
      <c r="C251" s="25">
        <v>2</v>
      </c>
      <c r="D251" s="18">
        <v>5</v>
      </c>
      <c r="E251" s="18">
        <v>1</v>
      </c>
      <c r="F251" s="18">
        <v>17.510000000000002</v>
      </c>
    </row>
    <row r="252" spans="1:6" ht="18" customHeight="1">
      <c r="A252" s="24">
        <v>1339761.8899999999</v>
      </c>
      <c r="B252" s="23">
        <v>22.36</v>
      </c>
      <c r="C252" s="26">
        <v>1</v>
      </c>
      <c r="D252" s="23">
        <v>1</v>
      </c>
      <c r="E252" s="23">
        <v>1</v>
      </c>
      <c r="F252" s="23">
        <v>26.5</v>
      </c>
    </row>
    <row r="253" spans="1:6" ht="18" customHeight="1">
      <c r="A253" s="19">
        <v>1143763.42</v>
      </c>
      <c r="B253" s="18">
        <v>63.21</v>
      </c>
      <c r="C253" s="25">
        <v>5</v>
      </c>
      <c r="D253" s="18">
        <v>3</v>
      </c>
      <c r="E253" s="18">
        <v>1</v>
      </c>
      <c r="F253" s="18">
        <v>46.79</v>
      </c>
    </row>
    <row r="254" spans="1:6" ht="18" customHeight="1">
      <c r="A254" s="24">
        <v>842708.79</v>
      </c>
      <c r="B254" s="23">
        <v>11.13</v>
      </c>
      <c r="C254" s="26">
        <v>3</v>
      </c>
      <c r="D254" s="23">
        <v>4</v>
      </c>
      <c r="E254" s="23">
        <v>1</v>
      </c>
      <c r="F254" s="23">
        <v>2.21</v>
      </c>
    </row>
    <row r="255" spans="1:6" ht="18" customHeight="1">
      <c r="A255" s="19">
        <v>232623.2</v>
      </c>
      <c r="B255" s="18">
        <v>58.75</v>
      </c>
      <c r="C255" s="25">
        <v>4</v>
      </c>
      <c r="D255" s="18">
        <v>2</v>
      </c>
      <c r="E255" s="18">
        <v>1</v>
      </c>
      <c r="F255" s="18">
        <v>13.43</v>
      </c>
    </row>
    <row r="256" spans="1:6" ht="18" customHeight="1">
      <c r="A256" s="24">
        <v>687817.8</v>
      </c>
      <c r="B256" s="23">
        <v>64.260000000000005</v>
      </c>
      <c r="C256" s="26">
        <v>5</v>
      </c>
      <c r="D256" s="23">
        <v>3</v>
      </c>
      <c r="E256" s="23">
        <v>1</v>
      </c>
      <c r="F256" s="23">
        <v>5.39</v>
      </c>
    </row>
    <row r="257" spans="1:6" ht="18" customHeight="1">
      <c r="A257" s="19">
        <v>1416721.29</v>
      </c>
      <c r="B257" s="18">
        <v>77</v>
      </c>
      <c r="C257" s="25">
        <v>5</v>
      </c>
      <c r="D257" s="18">
        <v>2</v>
      </c>
      <c r="E257" s="18">
        <v>0</v>
      </c>
      <c r="F257" s="18">
        <v>24.85</v>
      </c>
    </row>
    <row r="258" spans="1:6" ht="18" customHeight="1">
      <c r="A258" s="24">
        <v>526269.65</v>
      </c>
      <c r="B258" s="23">
        <v>15.78</v>
      </c>
      <c r="C258" s="26">
        <v>7</v>
      </c>
      <c r="D258" s="23">
        <v>1</v>
      </c>
      <c r="E258" s="23">
        <v>1</v>
      </c>
      <c r="F258" s="23">
        <v>38.549999999999997</v>
      </c>
    </row>
    <row r="259" spans="1:6" ht="18" customHeight="1">
      <c r="A259" s="19">
        <v>199203.79</v>
      </c>
      <c r="B259" s="18">
        <v>10.25</v>
      </c>
      <c r="C259" s="25">
        <v>4</v>
      </c>
      <c r="D259" s="18">
        <v>1</v>
      </c>
      <c r="E259" s="18">
        <v>0</v>
      </c>
      <c r="F259" s="18">
        <v>48.83</v>
      </c>
    </row>
    <row r="260" spans="1:6" ht="18" customHeight="1">
      <c r="A260" s="24">
        <v>296564.98</v>
      </c>
      <c r="B260" s="23">
        <v>75.180000000000007</v>
      </c>
      <c r="C260" s="26">
        <v>5</v>
      </c>
      <c r="D260" s="23">
        <v>1</v>
      </c>
      <c r="E260" s="23">
        <v>0</v>
      </c>
      <c r="F260" s="23">
        <v>7.86</v>
      </c>
    </row>
    <row r="261" spans="1:6" ht="18" customHeight="1">
      <c r="A261" s="19">
        <v>2120154.4700000002</v>
      </c>
      <c r="B261" s="18">
        <v>34.65</v>
      </c>
      <c r="C261" s="25">
        <v>2</v>
      </c>
      <c r="D261" s="18">
        <v>3</v>
      </c>
      <c r="E261" s="18">
        <v>1</v>
      </c>
      <c r="F261" s="18">
        <v>2.29</v>
      </c>
    </row>
    <row r="262" spans="1:6" ht="18" customHeight="1">
      <c r="A262" s="24">
        <v>259356.91</v>
      </c>
      <c r="B262" s="23">
        <v>85.41</v>
      </c>
      <c r="C262" s="26">
        <v>5</v>
      </c>
      <c r="D262" s="23">
        <v>3</v>
      </c>
      <c r="E262" s="23">
        <v>0</v>
      </c>
      <c r="F262" s="23">
        <v>7</v>
      </c>
    </row>
    <row r="263" spans="1:6" ht="18" customHeight="1">
      <c r="A263" s="19">
        <v>431288.36</v>
      </c>
      <c r="B263" s="18">
        <v>25.72</v>
      </c>
      <c r="C263" s="25">
        <v>6</v>
      </c>
      <c r="D263" s="18">
        <v>2</v>
      </c>
      <c r="E263" s="18">
        <v>0</v>
      </c>
      <c r="F263" s="18">
        <v>48.44</v>
      </c>
    </row>
    <row r="264" spans="1:6" ht="18" customHeight="1">
      <c r="A264" s="24">
        <v>3155887.87</v>
      </c>
      <c r="B264" s="23">
        <v>59.77</v>
      </c>
      <c r="C264" s="26">
        <v>1</v>
      </c>
      <c r="D264" s="23">
        <v>4</v>
      </c>
      <c r="E264" s="23">
        <v>0</v>
      </c>
      <c r="F264" s="23">
        <v>16.07</v>
      </c>
    </row>
    <row r="265" spans="1:6" ht="18" customHeight="1">
      <c r="A265" s="19">
        <v>568464.72</v>
      </c>
      <c r="B265" s="18">
        <v>19.3</v>
      </c>
      <c r="C265" s="25">
        <v>2</v>
      </c>
      <c r="D265" s="18">
        <v>4</v>
      </c>
      <c r="E265" s="18">
        <v>0</v>
      </c>
      <c r="F265" s="18">
        <v>13.43</v>
      </c>
    </row>
    <row r="266" spans="1:6" ht="18" customHeight="1">
      <c r="A266" s="24">
        <v>318865.71000000002</v>
      </c>
      <c r="B266" s="23">
        <v>44.23</v>
      </c>
      <c r="C266" s="26">
        <v>6</v>
      </c>
      <c r="D266" s="23">
        <v>1</v>
      </c>
      <c r="E266" s="23">
        <v>1</v>
      </c>
      <c r="F266" s="23">
        <v>36.78</v>
      </c>
    </row>
    <row r="267" spans="1:6" ht="18" customHeight="1">
      <c r="A267" s="19">
        <v>47262.86</v>
      </c>
      <c r="B267" s="18">
        <v>84.98</v>
      </c>
      <c r="C267" s="25">
        <v>6</v>
      </c>
      <c r="D267" s="18">
        <v>1</v>
      </c>
      <c r="E267" s="18">
        <v>1</v>
      </c>
      <c r="F267" s="18">
        <v>6.12</v>
      </c>
    </row>
    <row r="268" spans="1:6" ht="18" customHeight="1">
      <c r="A268" s="24">
        <v>178725.78</v>
      </c>
      <c r="B268" s="23">
        <v>61.71</v>
      </c>
      <c r="C268" s="26">
        <v>6</v>
      </c>
      <c r="D268" s="23">
        <v>2</v>
      </c>
      <c r="E268" s="23">
        <v>1</v>
      </c>
      <c r="F268" s="23">
        <v>17.52</v>
      </c>
    </row>
    <row r="269" spans="1:6" ht="18" customHeight="1">
      <c r="A269" s="19">
        <v>425987.27</v>
      </c>
      <c r="B269" s="18">
        <v>68.62</v>
      </c>
      <c r="C269" s="25">
        <v>4</v>
      </c>
      <c r="D269" s="18">
        <v>4</v>
      </c>
      <c r="E269" s="18">
        <v>1</v>
      </c>
      <c r="F269" s="18">
        <v>7.33</v>
      </c>
    </row>
    <row r="270" spans="1:6" ht="18" customHeight="1">
      <c r="A270" s="24">
        <v>234458.93</v>
      </c>
      <c r="B270" s="23">
        <v>29.21</v>
      </c>
      <c r="C270" s="26">
        <v>4</v>
      </c>
      <c r="D270" s="23">
        <v>3</v>
      </c>
      <c r="E270" s="23">
        <v>0</v>
      </c>
      <c r="F270" s="23">
        <v>48.72</v>
      </c>
    </row>
    <row r="271" spans="1:6" ht="18" customHeight="1">
      <c r="A271" s="19">
        <v>880008.91</v>
      </c>
      <c r="B271" s="18">
        <v>88.43</v>
      </c>
      <c r="C271" s="25">
        <v>6</v>
      </c>
      <c r="D271" s="18">
        <v>3</v>
      </c>
      <c r="E271" s="18">
        <v>1</v>
      </c>
      <c r="F271" s="18">
        <v>14.33</v>
      </c>
    </row>
    <row r="272" spans="1:6" ht="18" customHeight="1">
      <c r="A272" s="24">
        <v>168127.39</v>
      </c>
      <c r="B272" s="23">
        <v>63</v>
      </c>
      <c r="C272" s="26">
        <v>5</v>
      </c>
      <c r="D272" s="23">
        <v>2</v>
      </c>
      <c r="E272" s="23">
        <v>0</v>
      </c>
      <c r="F272" s="23">
        <v>13.53</v>
      </c>
    </row>
    <row r="273" spans="1:6" ht="18" customHeight="1">
      <c r="A273" s="19">
        <v>507555.34</v>
      </c>
      <c r="B273" s="18">
        <v>19</v>
      </c>
      <c r="C273" s="25">
        <v>3</v>
      </c>
      <c r="D273" s="18">
        <v>2</v>
      </c>
      <c r="E273" s="18">
        <v>1</v>
      </c>
      <c r="F273" s="18">
        <v>31.76</v>
      </c>
    </row>
    <row r="274" spans="1:6" ht="18" customHeight="1">
      <c r="A274" s="24">
        <v>1072279.3400000001</v>
      </c>
      <c r="B274" s="23">
        <v>11.32</v>
      </c>
      <c r="C274" s="26">
        <v>2</v>
      </c>
      <c r="D274" s="23">
        <v>5</v>
      </c>
      <c r="E274" s="23">
        <v>0</v>
      </c>
      <c r="F274" s="23">
        <v>0.93</v>
      </c>
    </row>
    <row r="275" spans="1:6" ht="18" customHeight="1">
      <c r="A275" s="19">
        <v>1176988.5</v>
      </c>
      <c r="B275" s="18">
        <v>11.35</v>
      </c>
      <c r="C275" s="25">
        <v>4</v>
      </c>
      <c r="D275" s="18">
        <v>2</v>
      </c>
      <c r="E275" s="18">
        <v>0</v>
      </c>
      <c r="F275" s="18">
        <v>32.71</v>
      </c>
    </row>
    <row r="276" spans="1:6" ht="18" customHeight="1">
      <c r="A276" s="24">
        <v>209439.11</v>
      </c>
      <c r="B276" s="23">
        <v>14.35</v>
      </c>
      <c r="C276" s="26">
        <v>4</v>
      </c>
      <c r="D276" s="23">
        <v>3</v>
      </c>
      <c r="E276" s="23">
        <v>1</v>
      </c>
      <c r="F276" s="23">
        <v>22.75</v>
      </c>
    </row>
    <row r="277" spans="1:6" ht="18" customHeight="1">
      <c r="A277" s="19">
        <v>664067.30000000005</v>
      </c>
      <c r="B277" s="18">
        <v>87.49</v>
      </c>
      <c r="C277" s="25">
        <v>6</v>
      </c>
      <c r="D277" s="18">
        <v>1</v>
      </c>
      <c r="E277" s="18">
        <v>0</v>
      </c>
      <c r="F277" s="18">
        <v>9.2899999999999991</v>
      </c>
    </row>
    <row r="278" spans="1:6" ht="18" customHeight="1">
      <c r="A278" s="24">
        <v>332495.09000000003</v>
      </c>
      <c r="B278" s="23">
        <v>40.46</v>
      </c>
      <c r="C278" s="26">
        <v>6</v>
      </c>
      <c r="D278" s="23">
        <v>1</v>
      </c>
      <c r="E278" s="23">
        <v>1</v>
      </c>
      <c r="F278" s="23">
        <v>24.37</v>
      </c>
    </row>
    <row r="279" spans="1:6" ht="18" customHeight="1">
      <c r="A279" s="19">
        <v>220060.3</v>
      </c>
      <c r="B279" s="18">
        <v>35.35</v>
      </c>
      <c r="C279" s="25">
        <v>5</v>
      </c>
      <c r="D279" s="18">
        <v>3</v>
      </c>
      <c r="E279" s="18">
        <v>1</v>
      </c>
      <c r="F279" s="18">
        <v>49.95</v>
      </c>
    </row>
    <row r="280" spans="1:6" ht="18" customHeight="1">
      <c r="A280" s="24">
        <v>872091.65</v>
      </c>
      <c r="B280" s="23">
        <v>45.41</v>
      </c>
      <c r="C280" s="26">
        <v>3</v>
      </c>
      <c r="D280" s="23">
        <v>3</v>
      </c>
      <c r="E280" s="23">
        <v>1</v>
      </c>
      <c r="F280" s="23">
        <v>41.96</v>
      </c>
    </row>
    <row r="281" spans="1:6" ht="18" customHeight="1">
      <c r="A281" s="19">
        <v>1117146.96</v>
      </c>
      <c r="B281" s="18">
        <v>44.81</v>
      </c>
      <c r="C281" s="25">
        <v>2</v>
      </c>
      <c r="D281" s="18">
        <v>2</v>
      </c>
      <c r="E281" s="18">
        <v>1</v>
      </c>
      <c r="F281" s="18">
        <v>48.71</v>
      </c>
    </row>
    <row r="282" spans="1:6" ht="18" customHeight="1">
      <c r="A282" s="24">
        <v>276628.84000000003</v>
      </c>
      <c r="B282" s="23">
        <v>30.27</v>
      </c>
      <c r="C282" s="26">
        <v>5</v>
      </c>
      <c r="D282" s="23">
        <v>2</v>
      </c>
      <c r="E282" s="23">
        <v>0</v>
      </c>
      <c r="F282" s="23">
        <v>46.31</v>
      </c>
    </row>
    <row r="283" spans="1:6" ht="18" customHeight="1">
      <c r="A283" s="19">
        <v>689187.72</v>
      </c>
      <c r="B283" s="18">
        <v>17.809999999999999</v>
      </c>
      <c r="C283" s="25">
        <v>3</v>
      </c>
      <c r="D283" s="18">
        <v>4</v>
      </c>
      <c r="E283" s="18">
        <v>1</v>
      </c>
      <c r="F283" s="18">
        <v>41.04</v>
      </c>
    </row>
    <row r="284" spans="1:6" ht="18" customHeight="1">
      <c r="A284" s="24">
        <v>524499.39</v>
      </c>
      <c r="B284" s="23">
        <v>19.23</v>
      </c>
      <c r="C284" s="26">
        <v>3</v>
      </c>
      <c r="D284" s="23">
        <v>1</v>
      </c>
      <c r="E284" s="23">
        <v>1</v>
      </c>
      <c r="F284" s="23">
        <v>16.8</v>
      </c>
    </row>
    <row r="285" spans="1:6" ht="18" customHeight="1">
      <c r="A285" s="19">
        <v>530627.76</v>
      </c>
      <c r="B285" s="18">
        <v>60.93</v>
      </c>
      <c r="C285" s="25">
        <v>4</v>
      </c>
      <c r="D285" s="18">
        <v>3</v>
      </c>
      <c r="E285" s="18">
        <v>0</v>
      </c>
      <c r="F285" s="18">
        <v>36.520000000000003</v>
      </c>
    </row>
    <row r="286" spans="1:6" ht="18" customHeight="1">
      <c r="A286" s="24">
        <v>1474944.95</v>
      </c>
      <c r="B286" s="23">
        <v>43.73</v>
      </c>
      <c r="C286" s="26">
        <v>2</v>
      </c>
      <c r="D286" s="23">
        <v>5</v>
      </c>
      <c r="E286" s="23">
        <v>0</v>
      </c>
      <c r="F286" s="23">
        <v>19.64</v>
      </c>
    </row>
    <row r="287" spans="1:6" ht="18" customHeight="1">
      <c r="A287" s="19">
        <v>1283775.28</v>
      </c>
      <c r="B287" s="18">
        <v>86.71</v>
      </c>
      <c r="C287" s="25">
        <v>4</v>
      </c>
      <c r="D287" s="18">
        <v>3</v>
      </c>
      <c r="E287" s="18">
        <v>1</v>
      </c>
      <c r="F287" s="18">
        <v>21.53</v>
      </c>
    </row>
    <row r="288" spans="1:6" ht="18" customHeight="1">
      <c r="A288" s="24">
        <v>235865.34</v>
      </c>
      <c r="B288" s="23">
        <v>49.42</v>
      </c>
      <c r="C288" s="26">
        <v>4</v>
      </c>
      <c r="D288" s="23">
        <v>2</v>
      </c>
      <c r="E288" s="23">
        <v>1</v>
      </c>
      <c r="F288" s="23">
        <v>43.68</v>
      </c>
    </row>
    <row r="289" spans="1:6" ht="18" customHeight="1">
      <c r="A289" s="19">
        <v>648180.67000000004</v>
      </c>
      <c r="B289" s="18">
        <v>52.8</v>
      </c>
      <c r="C289" s="25">
        <v>11</v>
      </c>
      <c r="D289" s="18">
        <v>4</v>
      </c>
      <c r="E289" s="18">
        <v>0</v>
      </c>
      <c r="F289" s="18">
        <v>10.34</v>
      </c>
    </row>
    <row r="290" spans="1:6" ht="18" customHeight="1">
      <c r="A290" s="24">
        <v>204870.84</v>
      </c>
      <c r="B290" s="23">
        <v>88.9</v>
      </c>
      <c r="C290" s="26">
        <v>3</v>
      </c>
      <c r="D290" s="23">
        <v>3</v>
      </c>
      <c r="E290" s="23">
        <v>1</v>
      </c>
      <c r="F290" s="23">
        <v>14.9</v>
      </c>
    </row>
    <row r="291" spans="1:6" ht="18" customHeight="1">
      <c r="A291" s="19">
        <v>603388.56000000006</v>
      </c>
      <c r="B291" s="18">
        <v>52.64</v>
      </c>
      <c r="C291" s="25">
        <v>3</v>
      </c>
      <c r="D291" s="18">
        <v>5</v>
      </c>
      <c r="E291" s="18">
        <v>0</v>
      </c>
      <c r="F291" s="18">
        <v>46.53</v>
      </c>
    </row>
    <row r="292" spans="1:6" ht="18" customHeight="1">
      <c r="A292" s="24">
        <v>705523.93</v>
      </c>
      <c r="B292" s="23">
        <v>52.67</v>
      </c>
      <c r="C292" s="26">
        <v>4</v>
      </c>
      <c r="D292" s="23">
        <v>4</v>
      </c>
      <c r="E292" s="23">
        <v>1</v>
      </c>
      <c r="F292" s="23">
        <v>35.01</v>
      </c>
    </row>
    <row r="293" spans="1:6" ht="18" customHeight="1">
      <c r="A293" s="19">
        <v>234687.48</v>
      </c>
      <c r="B293" s="18">
        <v>40.869999999999997</v>
      </c>
      <c r="C293" s="25">
        <v>10</v>
      </c>
      <c r="D293" s="18">
        <v>3</v>
      </c>
      <c r="E293" s="18">
        <v>1</v>
      </c>
      <c r="F293" s="18">
        <v>3.34</v>
      </c>
    </row>
    <row r="294" spans="1:6" ht="18" customHeight="1">
      <c r="A294" s="24">
        <v>341152.86</v>
      </c>
      <c r="B294" s="23">
        <v>70.39</v>
      </c>
      <c r="C294" s="26">
        <v>4</v>
      </c>
      <c r="D294" s="23">
        <v>3</v>
      </c>
      <c r="E294" s="23">
        <v>1</v>
      </c>
      <c r="F294" s="23">
        <v>6.17</v>
      </c>
    </row>
    <row r="295" spans="1:6" ht="18" customHeight="1">
      <c r="A295" s="19">
        <v>583333.51</v>
      </c>
      <c r="B295" s="18">
        <v>43.34</v>
      </c>
      <c r="C295" s="25">
        <v>3</v>
      </c>
      <c r="D295" s="18">
        <v>2</v>
      </c>
      <c r="E295" s="18">
        <v>1</v>
      </c>
      <c r="F295" s="18">
        <v>29.02</v>
      </c>
    </row>
    <row r="296" spans="1:6" ht="18" customHeight="1">
      <c r="A296" s="24">
        <v>491681.86</v>
      </c>
      <c r="B296" s="23">
        <v>60.01</v>
      </c>
      <c r="C296" s="26">
        <v>3</v>
      </c>
      <c r="D296" s="23">
        <v>2</v>
      </c>
      <c r="E296" s="23">
        <v>0</v>
      </c>
      <c r="F296" s="23">
        <v>39.96</v>
      </c>
    </row>
    <row r="297" spans="1:6" ht="18" customHeight="1">
      <c r="A297" s="19">
        <v>464059.87</v>
      </c>
      <c r="B297" s="18">
        <v>48.03</v>
      </c>
      <c r="C297" s="25">
        <v>3</v>
      </c>
      <c r="D297" s="18">
        <v>3</v>
      </c>
      <c r="E297" s="18">
        <v>1</v>
      </c>
      <c r="F297" s="18">
        <v>39.659999999999997</v>
      </c>
    </row>
    <row r="298" spans="1:6" ht="18" customHeight="1">
      <c r="A298" s="24">
        <v>1100361.1100000001</v>
      </c>
      <c r="B298" s="23">
        <v>54.94</v>
      </c>
      <c r="C298" s="26">
        <v>3</v>
      </c>
      <c r="D298" s="23">
        <v>3</v>
      </c>
      <c r="E298" s="23">
        <v>0</v>
      </c>
      <c r="F298" s="23">
        <v>21.3</v>
      </c>
    </row>
    <row r="299" spans="1:6" ht="18" customHeight="1">
      <c r="A299" s="19">
        <v>818801.53</v>
      </c>
      <c r="B299" s="18">
        <v>80.3</v>
      </c>
      <c r="C299" s="25">
        <v>3</v>
      </c>
      <c r="D299" s="18">
        <v>3</v>
      </c>
      <c r="E299" s="18">
        <v>1</v>
      </c>
      <c r="F299" s="18">
        <v>13</v>
      </c>
    </row>
    <row r="300" spans="1:6" ht="18" customHeight="1">
      <c r="A300" s="24">
        <v>261663.95</v>
      </c>
      <c r="B300" s="23">
        <v>45.17</v>
      </c>
      <c r="C300" s="26">
        <v>5</v>
      </c>
      <c r="D300" s="23">
        <v>4</v>
      </c>
      <c r="E300" s="23">
        <v>1</v>
      </c>
      <c r="F300" s="23">
        <v>39.409999999999997</v>
      </c>
    </row>
    <row r="301" spans="1:6" ht="18" customHeight="1">
      <c r="A301" s="19">
        <v>1700805.88</v>
      </c>
      <c r="B301" s="18">
        <v>29.56</v>
      </c>
      <c r="C301" s="25">
        <v>2</v>
      </c>
      <c r="D301" s="18">
        <v>1</v>
      </c>
      <c r="E301" s="18">
        <v>1</v>
      </c>
      <c r="F301" s="18">
        <v>47.21</v>
      </c>
    </row>
    <row r="302" spans="1:6" ht="18" customHeight="1">
      <c r="A302" s="24">
        <v>2384213.15</v>
      </c>
      <c r="B302" s="23">
        <v>58.48</v>
      </c>
      <c r="C302" s="26">
        <v>1</v>
      </c>
      <c r="D302" s="23">
        <v>1</v>
      </c>
      <c r="E302" s="23">
        <v>1</v>
      </c>
      <c r="F302" s="23">
        <v>22.26</v>
      </c>
    </row>
    <row r="303" spans="1:6" ht="18" customHeight="1">
      <c r="A303" s="19">
        <v>1076370.17</v>
      </c>
      <c r="B303" s="18">
        <v>89.69</v>
      </c>
      <c r="C303" s="25">
        <v>3</v>
      </c>
      <c r="D303" s="18">
        <v>1</v>
      </c>
      <c r="E303" s="18">
        <v>1</v>
      </c>
      <c r="F303" s="18">
        <v>6.95</v>
      </c>
    </row>
    <row r="304" spans="1:6" ht="18" customHeight="1">
      <c r="A304" s="24">
        <v>361615.14</v>
      </c>
      <c r="B304" s="23">
        <v>68.92</v>
      </c>
      <c r="C304" s="26">
        <v>8</v>
      </c>
      <c r="D304" s="23">
        <v>4</v>
      </c>
      <c r="E304" s="23">
        <v>1</v>
      </c>
      <c r="F304" s="23">
        <v>30.53</v>
      </c>
    </row>
    <row r="305" spans="1:6" ht="18" customHeight="1">
      <c r="A305" s="19">
        <v>401912.91</v>
      </c>
      <c r="B305" s="18">
        <v>36.21</v>
      </c>
      <c r="C305" s="25">
        <v>3</v>
      </c>
      <c r="D305" s="18">
        <v>1</v>
      </c>
      <c r="E305" s="18">
        <v>0</v>
      </c>
      <c r="F305" s="18">
        <v>3.67</v>
      </c>
    </row>
    <row r="306" spans="1:6" ht="18" customHeight="1">
      <c r="A306" s="24">
        <v>472257.23</v>
      </c>
      <c r="B306" s="23">
        <v>91.85</v>
      </c>
      <c r="C306" s="26">
        <v>3</v>
      </c>
      <c r="D306" s="23">
        <v>2</v>
      </c>
      <c r="E306" s="23">
        <v>1</v>
      </c>
      <c r="F306" s="23">
        <v>30.61</v>
      </c>
    </row>
    <row r="307" spans="1:6" ht="18" customHeight="1">
      <c r="A307" s="19">
        <v>776135.04</v>
      </c>
      <c r="B307" s="18">
        <v>39.130000000000003</v>
      </c>
      <c r="C307" s="25">
        <v>4</v>
      </c>
      <c r="D307" s="18">
        <v>2</v>
      </c>
      <c r="E307" s="18">
        <v>1</v>
      </c>
      <c r="F307" s="18">
        <v>8.73</v>
      </c>
    </row>
    <row r="308" spans="1:6" ht="18" customHeight="1">
      <c r="A308" s="24">
        <v>714921.34</v>
      </c>
      <c r="B308" s="23">
        <v>93.58</v>
      </c>
      <c r="C308" s="26">
        <v>4</v>
      </c>
      <c r="D308" s="23">
        <v>3</v>
      </c>
      <c r="E308" s="23">
        <v>1</v>
      </c>
      <c r="F308" s="23">
        <v>25.85</v>
      </c>
    </row>
    <row r="309" spans="1:6" ht="18" customHeight="1">
      <c r="A309" s="19">
        <v>652682.94999999995</v>
      </c>
      <c r="B309" s="18">
        <v>26.32</v>
      </c>
      <c r="C309" s="25">
        <v>3</v>
      </c>
      <c r="D309" s="18">
        <v>3</v>
      </c>
      <c r="E309" s="18">
        <v>1</v>
      </c>
      <c r="F309" s="18">
        <v>31.31</v>
      </c>
    </row>
    <row r="310" spans="1:6" ht="18" customHeight="1">
      <c r="A310" s="24">
        <v>425473.74</v>
      </c>
      <c r="B310" s="23">
        <v>94.97</v>
      </c>
      <c r="C310" s="26">
        <v>5</v>
      </c>
      <c r="D310" s="23">
        <v>2</v>
      </c>
      <c r="E310" s="23">
        <v>1</v>
      </c>
      <c r="F310" s="23">
        <v>22.39</v>
      </c>
    </row>
    <row r="311" spans="1:6" ht="18" customHeight="1">
      <c r="A311" s="19">
        <v>711292.82</v>
      </c>
      <c r="B311" s="18">
        <v>16.45</v>
      </c>
      <c r="C311" s="25">
        <v>6</v>
      </c>
      <c r="D311" s="18">
        <v>3</v>
      </c>
      <c r="E311" s="18">
        <v>1</v>
      </c>
      <c r="F311" s="18">
        <v>41.38</v>
      </c>
    </row>
    <row r="312" spans="1:6" ht="18" customHeight="1">
      <c r="A312" s="24">
        <v>278067.52</v>
      </c>
      <c r="B312" s="23">
        <v>70.63</v>
      </c>
      <c r="C312" s="26">
        <v>5</v>
      </c>
      <c r="D312" s="23">
        <v>3</v>
      </c>
      <c r="E312" s="23">
        <v>0</v>
      </c>
      <c r="F312" s="23">
        <v>18.8</v>
      </c>
    </row>
    <row r="313" spans="1:6" ht="18" customHeight="1">
      <c r="A313" s="19">
        <v>917718.65</v>
      </c>
      <c r="B313" s="18">
        <v>72.94</v>
      </c>
      <c r="C313" s="25">
        <v>3</v>
      </c>
      <c r="D313" s="18">
        <v>4</v>
      </c>
      <c r="E313" s="18">
        <v>1</v>
      </c>
      <c r="F313" s="18">
        <v>7.84</v>
      </c>
    </row>
    <row r="314" spans="1:6" ht="18" customHeight="1">
      <c r="A314" s="24">
        <v>292706.28000000003</v>
      </c>
      <c r="B314" s="23">
        <v>67.760000000000005</v>
      </c>
      <c r="C314" s="26">
        <v>6</v>
      </c>
      <c r="D314" s="23">
        <v>1</v>
      </c>
      <c r="E314" s="23">
        <v>0</v>
      </c>
      <c r="F314" s="23">
        <v>23.25</v>
      </c>
    </row>
    <row r="315" spans="1:6" ht="18" customHeight="1">
      <c r="A315" s="19">
        <v>579997.44999999995</v>
      </c>
      <c r="B315" s="18">
        <v>76.099999999999994</v>
      </c>
      <c r="C315" s="25">
        <v>3</v>
      </c>
      <c r="D315" s="18">
        <v>4</v>
      </c>
      <c r="E315" s="18">
        <v>0</v>
      </c>
      <c r="F315" s="18">
        <v>48.18</v>
      </c>
    </row>
    <row r="316" spans="1:6" ht="18" customHeight="1">
      <c r="A316" s="24">
        <v>1277804.3600000001</v>
      </c>
      <c r="B316" s="23">
        <v>50.11</v>
      </c>
      <c r="C316" s="26">
        <v>3</v>
      </c>
      <c r="D316" s="23">
        <v>1</v>
      </c>
      <c r="E316" s="23">
        <v>1</v>
      </c>
      <c r="F316" s="23">
        <v>44.02</v>
      </c>
    </row>
    <row r="317" spans="1:6" ht="18" customHeight="1">
      <c r="A317" s="19">
        <v>650705.15</v>
      </c>
      <c r="B317" s="18">
        <v>14.6</v>
      </c>
      <c r="C317" s="25">
        <v>5</v>
      </c>
      <c r="D317" s="18">
        <v>4</v>
      </c>
      <c r="E317" s="18">
        <v>1</v>
      </c>
      <c r="F317" s="18">
        <v>15.62</v>
      </c>
    </row>
    <row r="318" spans="1:6" ht="18" customHeight="1">
      <c r="A318" s="24">
        <v>646073.06000000006</v>
      </c>
      <c r="B318" s="23">
        <v>40.409999999999997</v>
      </c>
      <c r="C318" s="26">
        <v>5</v>
      </c>
      <c r="D318" s="23">
        <v>3</v>
      </c>
      <c r="E318" s="23">
        <v>1</v>
      </c>
      <c r="F318" s="23">
        <v>12.21</v>
      </c>
    </row>
    <row r="319" spans="1:6" ht="18" customHeight="1">
      <c r="A319" s="19">
        <v>1446525.45</v>
      </c>
      <c r="B319" s="18">
        <v>64.599999999999994</v>
      </c>
      <c r="C319" s="25">
        <v>3</v>
      </c>
      <c r="D319" s="18">
        <v>3</v>
      </c>
      <c r="E319" s="18">
        <v>1</v>
      </c>
      <c r="F319" s="18">
        <v>24.22</v>
      </c>
    </row>
    <row r="320" spans="1:6" ht="18" customHeight="1">
      <c r="A320" s="24">
        <v>286843.53000000003</v>
      </c>
      <c r="B320" s="23">
        <v>64.930000000000007</v>
      </c>
      <c r="C320" s="26">
        <v>7</v>
      </c>
      <c r="D320" s="23">
        <v>1</v>
      </c>
      <c r="E320" s="23">
        <v>1</v>
      </c>
      <c r="F320" s="23">
        <v>32.79</v>
      </c>
    </row>
    <row r="321" spans="1:6" ht="18" customHeight="1">
      <c r="A321" s="19">
        <v>746295.88</v>
      </c>
      <c r="B321" s="18">
        <v>26.59</v>
      </c>
      <c r="C321" s="25">
        <v>4</v>
      </c>
      <c r="D321" s="18">
        <v>4</v>
      </c>
      <c r="E321" s="18">
        <v>0</v>
      </c>
      <c r="F321" s="18">
        <v>46.34</v>
      </c>
    </row>
    <row r="322" spans="1:6" ht="18" customHeight="1">
      <c r="A322" s="24">
        <v>205746.15</v>
      </c>
      <c r="B322" s="23">
        <v>31.51</v>
      </c>
      <c r="C322" s="26">
        <v>8</v>
      </c>
      <c r="D322" s="23">
        <v>1</v>
      </c>
      <c r="E322" s="23">
        <v>1</v>
      </c>
      <c r="F322" s="23">
        <v>30.7</v>
      </c>
    </row>
    <row r="323" spans="1:6" ht="18" customHeight="1">
      <c r="A323" s="19">
        <v>1204232.06</v>
      </c>
      <c r="B323" s="18">
        <v>51.37</v>
      </c>
      <c r="C323" s="25">
        <v>2</v>
      </c>
      <c r="D323" s="18">
        <v>4</v>
      </c>
      <c r="E323" s="18">
        <v>1</v>
      </c>
      <c r="F323" s="18">
        <v>41.82</v>
      </c>
    </row>
    <row r="324" spans="1:6" ht="18" customHeight="1">
      <c r="A324" s="24">
        <v>916912.19</v>
      </c>
      <c r="B324" s="23">
        <v>71.930000000000007</v>
      </c>
      <c r="C324" s="26">
        <v>2</v>
      </c>
      <c r="D324" s="23">
        <v>4</v>
      </c>
      <c r="E324" s="23">
        <v>1</v>
      </c>
      <c r="F324" s="23">
        <v>34.83</v>
      </c>
    </row>
    <row r="325" spans="1:6" ht="18" customHeight="1">
      <c r="A325" s="19">
        <v>700524.97</v>
      </c>
      <c r="B325" s="18">
        <v>82.49</v>
      </c>
      <c r="C325" s="25">
        <v>3</v>
      </c>
      <c r="D325" s="18">
        <v>4</v>
      </c>
      <c r="E325" s="18">
        <v>1</v>
      </c>
      <c r="F325" s="18">
        <v>5.17</v>
      </c>
    </row>
    <row r="326" spans="1:6" ht="18" customHeight="1">
      <c r="A326" s="24">
        <v>2833701.07</v>
      </c>
      <c r="B326" s="23">
        <v>17.350000000000001</v>
      </c>
      <c r="C326" s="26">
        <v>1</v>
      </c>
      <c r="D326" s="23">
        <v>4</v>
      </c>
      <c r="E326" s="23">
        <v>0</v>
      </c>
      <c r="F326" s="23">
        <v>44.6</v>
      </c>
    </row>
    <row r="327" spans="1:6" ht="18" customHeight="1">
      <c r="A327" s="19">
        <v>242711.72</v>
      </c>
      <c r="B327" s="18">
        <v>88.68</v>
      </c>
      <c r="C327" s="25">
        <v>5</v>
      </c>
      <c r="D327" s="18">
        <v>1</v>
      </c>
      <c r="E327" s="18">
        <v>1</v>
      </c>
      <c r="F327" s="18">
        <v>10.06</v>
      </c>
    </row>
    <row r="328" spans="1:6" ht="18" customHeight="1">
      <c r="A328" s="24">
        <v>1159701.1399999999</v>
      </c>
      <c r="B328" s="23">
        <v>88.86</v>
      </c>
      <c r="C328" s="26">
        <v>6</v>
      </c>
      <c r="D328" s="23">
        <v>5</v>
      </c>
      <c r="E328" s="23">
        <v>1</v>
      </c>
      <c r="F328" s="23">
        <v>18.399999999999999</v>
      </c>
    </row>
    <row r="329" spans="1:6" ht="18" customHeight="1">
      <c r="A329" s="19">
        <v>361413.24</v>
      </c>
      <c r="B329" s="18">
        <v>10.67</v>
      </c>
      <c r="C329" s="25">
        <v>3</v>
      </c>
      <c r="D329" s="18">
        <v>4</v>
      </c>
      <c r="E329" s="18">
        <v>1</v>
      </c>
      <c r="F329" s="18">
        <v>42.03</v>
      </c>
    </row>
    <row r="330" spans="1:6" ht="18" customHeight="1">
      <c r="A330" s="24">
        <v>478465.63</v>
      </c>
      <c r="B330" s="23">
        <v>53.04</v>
      </c>
      <c r="C330" s="26">
        <v>2</v>
      </c>
      <c r="D330" s="23">
        <v>3</v>
      </c>
      <c r="E330" s="23">
        <v>1</v>
      </c>
      <c r="F330" s="23">
        <v>48.96</v>
      </c>
    </row>
    <row r="331" spans="1:6" ht="18" customHeight="1">
      <c r="A331" s="19">
        <v>1324114.1599999999</v>
      </c>
      <c r="B331" s="18">
        <v>59.91</v>
      </c>
      <c r="C331" s="25">
        <v>3</v>
      </c>
      <c r="D331" s="18">
        <v>4</v>
      </c>
      <c r="E331" s="18">
        <v>0</v>
      </c>
      <c r="F331" s="18">
        <v>15.6</v>
      </c>
    </row>
    <row r="332" spans="1:6" ht="18" customHeight="1">
      <c r="A332" s="24">
        <v>318829.74</v>
      </c>
      <c r="B332" s="23">
        <v>57.07</v>
      </c>
      <c r="C332" s="26">
        <v>10</v>
      </c>
      <c r="D332" s="23">
        <v>4</v>
      </c>
      <c r="E332" s="23">
        <v>1</v>
      </c>
      <c r="F332" s="23">
        <v>19.22</v>
      </c>
    </row>
    <row r="333" spans="1:6" ht="18" customHeight="1">
      <c r="A333" s="19">
        <v>720843.64</v>
      </c>
      <c r="B333" s="18">
        <v>62.34</v>
      </c>
      <c r="C333" s="25">
        <v>4</v>
      </c>
      <c r="D333" s="18">
        <v>4</v>
      </c>
      <c r="E333" s="18">
        <v>0</v>
      </c>
      <c r="F333" s="18">
        <v>24.33</v>
      </c>
    </row>
    <row r="334" spans="1:6" ht="18" customHeight="1">
      <c r="A334" s="24">
        <v>963564.8</v>
      </c>
      <c r="B334" s="23">
        <v>52.78</v>
      </c>
      <c r="C334" s="26">
        <v>3</v>
      </c>
      <c r="D334" s="23">
        <v>2</v>
      </c>
      <c r="E334" s="23">
        <v>0</v>
      </c>
      <c r="F334" s="23">
        <v>24.95</v>
      </c>
    </row>
    <row r="335" spans="1:6" ht="18" customHeight="1">
      <c r="A335" s="19">
        <v>281177.59999999998</v>
      </c>
      <c r="B335" s="18">
        <v>34.97</v>
      </c>
      <c r="C335" s="25">
        <v>7</v>
      </c>
      <c r="D335" s="18">
        <v>2</v>
      </c>
      <c r="E335" s="18">
        <v>1</v>
      </c>
      <c r="F335" s="18">
        <v>37.54</v>
      </c>
    </row>
    <row r="336" spans="1:6" ht="18" customHeight="1">
      <c r="A336" s="24">
        <v>192892.42</v>
      </c>
      <c r="B336" s="23">
        <v>18.13</v>
      </c>
      <c r="C336" s="26">
        <v>6</v>
      </c>
      <c r="D336" s="23">
        <v>4</v>
      </c>
      <c r="E336" s="23">
        <v>1</v>
      </c>
      <c r="F336" s="23">
        <v>40.869999999999997</v>
      </c>
    </row>
    <row r="337" spans="1:6" ht="18" customHeight="1">
      <c r="A337" s="19">
        <v>1037511.44</v>
      </c>
      <c r="B337" s="18">
        <v>27.71</v>
      </c>
      <c r="C337" s="25">
        <v>2</v>
      </c>
      <c r="D337" s="18">
        <v>4</v>
      </c>
      <c r="E337" s="18">
        <v>1</v>
      </c>
      <c r="F337" s="18">
        <v>49.55</v>
      </c>
    </row>
    <row r="338" spans="1:6" ht="18" customHeight="1">
      <c r="A338" s="24">
        <v>660370.15</v>
      </c>
      <c r="B338" s="23">
        <v>72.92</v>
      </c>
      <c r="C338" s="26">
        <v>2</v>
      </c>
      <c r="D338" s="23">
        <v>3</v>
      </c>
      <c r="E338" s="23">
        <v>0</v>
      </c>
      <c r="F338" s="23">
        <v>40.229999999999997</v>
      </c>
    </row>
    <row r="339" spans="1:6" ht="18" customHeight="1">
      <c r="A339" s="19">
        <v>711858.14</v>
      </c>
      <c r="B339" s="18">
        <v>30.49</v>
      </c>
      <c r="C339" s="25">
        <v>5</v>
      </c>
      <c r="D339" s="18">
        <v>2</v>
      </c>
      <c r="E339" s="18">
        <v>1</v>
      </c>
      <c r="F339" s="18">
        <v>15.06</v>
      </c>
    </row>
    <row r="340" spans="1:6" ht="18" customHeight="1">
      <c r="A340" s="24">
        <v>1815307.75</v>
      </c>
      <c r="B340" s="23">
        <v>80.53</v>
      </c>
      <c r="C340" s="26">
        <v>1</v>
      </c>
      <c r="D340" s="23">
        <v>5</v>
      </c>
      <c r="E340" s="23">
        <v>0</v>
      </c>
      <c r="F340" s="23">
        <v>17.97</v>
      </c>
    </row>
    <row r="341" spans="1:6" ht="18" customHeight="1">
      <c r="A341" s="19">
        <v>604135.93000000005</v>
      </c>
      <c r="B341" s="18">
        <v>44.3</v>
      </c>
      <c r="C341" s="25">
        <v>2</v>
      </c>
      <c r="D341" s="18">
        <v>3</v>
      </c>
      <c r="E341" s="18">
        <v>0</v>
      </c>
      <c r="F341" s="18">
        <v>30.94</v>
      </c>
    </row>
    <row r="342" spans="1:6" ht="18" customHeight="1">
      <c r="A342" s="24">
        <v>817512.37</v>
      </c>
      <c r="B342" s="23">
        <v>45.23</v>
      </c>
      <c r="C342" s="26">
        <v>2</v>
      </c>
      <c r="D342" s="23">
        <v>4</v>
      </c>
      <c r="E342" s="23">
        <v>1</v>
      </c>
      <c r="F342" s="23">
        <v>34.36</v>
      </c>
    </row>
    <row r="343" spans="1:6" ht="18" customHeight="1">
      <c r="A343" s="19">
        <v>846737.99</v>
      </c>
      <c r="B343" s="18">
        <v>83.82</v>
      </c>
      <c r="C343" s="25">
        <v>3</v>
      </c>
      <c r="D343" s="18">
        <v>3</v>
      </c>
      <c r="E343" s="18">
        <v>1</v>
      </c>
      <c r="F343" s="18">
        <v>4.59</v>
      </c>
    </row>
    <row r="344" spans="1:6" ht="18" customHeight="1">
      <c r="A344" s="24">
        <v>201966.1</v>
      </c>
      <c r="B344" s="23">
        <v>28.21</v>
      </c>
      <c r="C344" s="26">
        <v>7</v>
      </c>
      <c r="D344" s="23">
        <v>2</v>
      </c>
      <c r="E344" s="23">
        <v>1</v>
      </c>
      <c r="F344" s="23">
        <v>17.25</v>
      </c>
    </row>
    <row r="345" spans="1:6" ht="18" customHeight="1">
      <c r="A345" s="19">
        <v>403549.92</v>
      </c>
      <c r="B345" s="18">
        <v>26.12</v>
      </c>
      <c r="C345" s="25">
        <v>3</v>
      </c>
      <c r="D345" s="18">
        <v>3</v>
      </c>
      <c r="E345" s="18">
        <v>1</v>
      </c>
      <c r="F345" s="18">
        <v>10.210000000000001</v>
      </c>
    </row>
    <row r="346" spans="1:6" ht="18" customHeight="1">
      <c r="A346" s="24">
        <v>254992.08</v>
      </c>
      <c r="B346" s="23">
        <v>93.76</v>
      </c>
      <c r="C346" s="26">
        <v>9</v>
      </c>
      <c r="D346" s="23">
        <v>4</v>
      </c>
      <c r="E346" s="23">
        <v>1</v>
      </c>
      <c r="F346" s="23">
        <v>25.44</v>
      </c>
    </row>
    <row r="347" spans="1:6" ht="18" customHeight="1">
      <c r="A347" s="19">
        <v>765563.66</v>
      </c>
      <c r="B347" s="18">
        <v>55.95</v>
      </c>
      <c r="C347" s="25">
        <v>3</v>
      </c>
      <c r="D347" s="18">
        <v>5</v>
      </c>
      <c r="E347" s="18">
        <v>1</v>
      </c>
      <c r="F347" s="18">
        <v>8.52</v>
      </c>
    </row>
    <row r="348" spans="1:6" ht="18" customHeight="1">
      <c r="A348" s="24">
        <v>731378.88</v>
      </c>
      <c r="B348" s="23">
        <v>26.19</v>
      </c>
      <c r="C348" s="26">
        <v>2</v>
      </c>
      <c r="D348" s="23">
        <v>1</v>
      </c>
      <c r="E348" s="23">
        <v>0</v>
      </c>
      <c r="F348" s="23">
        <v>29.08</v>
      </c>
    </row>
    <row r="349" spans="1:6" ht="18" customHeight="1">
      <c r="A349" s="19">
        <v>373652.93</v>
      </c>
      <c r="B349" s="18">
        <v>24.09</v>
      </c>
      <c r="C349" s="25">
        <v>4</v>
      </c>
      <c r="D349" s="18">
        <v>4</v>
      </c>
      <c r="E349" s="18">
        <v>0</v>
      </c>
      <c r="F349" s="18">
        <v>23.42</v>
      </c>
    </row>
    <row r="350" spans="1:6" ht="18" customHeight="1">
      <c r="A350" s="24">
        <v>759653.49</v>
      </c>
      <c r="B350" s="23">
        <v>83.24</v>
      </c>
      <c r="C350" s="26">
        <v>3</v>
      </c>
      <c r="D350" s="23">
        <v>3</v>
      </c>
      <c r="E350" s="23">
        <v>1</v>
      </c>
      <c r="F350" s="23">
        <v>20.260000000000002</v>
      </c>
    </row>
    <row r="351" spans="1:6" ht="18" customHeight="1">
      <c r="A351" s="19">
        <v>277211.8</v>
      </c>
      <c r="B351" s="18">
        <v>60.99</v>
      </c>
      <c r="C351" s="25">
        <v>3</v>
      </c>
      <c r="D351" s="18">
        <v>1</v>
      </c>
      <c r="E351" s="18">
        <v>1</v>
      </c>
      <c r="F351" s="18">
        <v>32.479999999999997</v>
      </c>
    </row>
    <row r="352" spans="1:6" ht="18" customHeight="1">
      <c r="A352" s="24">
        <v>426076.66</v>
      </c>
      <c r="B352" s="23">
        <v>19.78</v>
      </c>
      <c r="C352" s="26">
        <v>2</v>
      </c>
      <c r="D352" s="23">
        <v>4</v>
      </c>
      <c r="E352" s="23">
        <v>1</v>
      </c>
      <c r="F352" s="23">
        <v>20.87</v>
      </c>
    </row>
    <row r="353" spans="1:6" ht="18" customHeight="1">
      <c r="A353" s="19">
        <v>257685.61</v>
      </c>
      <c r="B353" s="18">
        <v>85.39</v>
      </c>
      <c r="C353" s="25">
        <v>5</v>
      </c>
      <c r="D353" s="18">
        <v>2</v>
      </c>
      <c r="E353" s="18">
        <v>0</v>
      </c>
      <c r="F353" s="18">
        <v>20.02</v>
      </c>
    </row>
    <row r="354" spans="1:6" ht="18" customHeight="1">
      <c r="A354" s="24">
        <v>436104.58</v>
      </c>
      <c r="B354" s="23">
        <v>47.73</v>
      </c>
      <c r="C354" s="26">
        <v>4</v>
      </c>
      <c r="D354" s="23">
        <v>4</v>
      </c>
      <c r="E354" s="23">
        <v>1</v>
      </c>
      <c r="F354" s="23">
        <v>32.590000000000003</v>
      </c>
    </row>
    <row r="355" spans="1:6" ht="18" customHeight="1">
      <c r="A355" s="19">
        <v>1194690.08</v>
      </c>
      <c r="B355" s="18">
        <v>94.1</v>
      </c>
      <c r="C355" s="25">
        <v>2</v>
      </c>
      <c r="D355" s="18">
        <v>2</v>
      </c>
      <c r="E355" s="18">
        <v>1</v>
      </c>
      <c r="F355" s="18">
        <v>2.96</v>
      </c>
    </row>
    <row r="356" spans="1:6" ht="18" customHeight="1">
      <c r="A356" s="24">
        <v>1601740.55</v>
      </c>
      <c r="B356" s="23">
        <v>33.950000000000003</v>
      </c>
      <c r="C356" s="26">
        <v>3</v>
      </c>
      <c r="D356" s="23">
        <v>4</v>
      </c>
      <c r="E356" s="23">
        <v>0</v>
      </c>
      <c r="F356" s="23">
        <v>21.68</v>
      </c>
    </row>
    <row r="357" spans="1:6" ht="18" customHeight="1">
      <c r="A357" s="19">
        <v>1105693.71</v>
      </c>
      <c r="B357" s="18">
        <v>54.95</v>
      </c>
      <c r="C357" s="25">
        <v>3</v>
      </c>
      <c r="D357" s="18">
        <v>2</v>
      </c>
      <c r="E357" s="18">
        <v>1</v>
      </c>
      <c r="F357" s="18">
        <v>9.85</v>
      </c>
    </row>
    <row r="358" spans="1:6" ht="18" customHeight="1">
      <c r="A358" s="24">
        <v>600443.96</v>
      </c>
      <c r="B358" s="23">
        <v>24.71</v>
      </c>
      <c r="C358" s="26">
        <v>3</v>
      </c>
      <c r="D358" s="23">
        <v>2</v>
      </c>
      <c r="E358" s="23">
        <v>1</v>
      </c>
      <c r="F358" s="23">
        <v>2.02</v>
      </c>
    </row>
    <row r="359" spans="1:6" ht="18" customHeight="1">
      <c r="A359" s="19">
        <v>392053.02</v>
      </c>
      <c r="B359" s="18">
        <v>47.38</v>
      </c>
      <c r="C359" s="25">
        <v>5</v>
      </c>
      <c r="D359" s="18">
        <v>1</v>
      </c>
      <c r="E359" s="18">
        <v>1</v>
      </c>
      <c r="F359" s="18">
        <v>1.83</v>
      </c>
    </row>
    <row r="360" spans="1:6" ht="18" customHeight="1">
      <c r="A360" s="24">
        <v>120723.47</v>
      </c>
      <c r="B360" s="23">
        <v>25.01</v>
      </c>
      <c r="C360" s="26">
        <v>9</v>
      </c>
      <c r="D360" s="23">
        <v>3</v>
      </c>
      <c r="E360" s="23">
        <v>1</v>
      </c>
      <c r="F360" s="23">
        <v>8.4600000000000009</v>
      </c>
    </row>
    <row r="361" spans="1:6" ht="18" customHeight="1">
      <c r="A361" s="19">
        <v>326809.48</v>
      </c>
      <c r="B361" s="18">
        <v>36.11</v>
      </c>
      <c r="C361" s="25">
        <v>6</v>
      </c>
      <c r="D361" s="18">
        <v>2</v>
      </c>
      <c r="E361" s="18">
        <v>0</v>
      </c>
      <c r="F361" s="18">
        <v>21.75</v>
      </c>
    </row>
    <row r="362" spans="1:6" ht="18" customHeight="1">
      <c r="A362" s="24">
        <v>555815.97</v>
      </c>
      <c r="B362" s="23">
        <v>32.94</v>
      </c>
      <c r="C362" s="26">
        <v>3</v>
      </c>
      <c r="D362" s="23">
        <v>1</v>
      </c>
      <c r="E362" s="23">
        <v>1</v>
      </c>
      <c r="F362" s="23">
        <v>28.38</v>
      </c>
    </row>
    <row r="363" spans="1:6" ht="18" customHeight="1">
      <c r="A363" s="19">
        <v>481274.57</v>
      </c>
      <c r="B363" s="18">
        <v>34.06</v>
      </c>
      <c r="C363" s="25">
        <v>5</v>
      </c>
      <c r="D363" s="18">
        <v>2</v>
      </c>
      <c r="E363" s="18">
        <v>1</v>
      </c>
      <c r="F363" s="18">
        <v>39.82</v>
      </c>
    </row>
    <row r="364" spans="1:6" ht="18" customHeight="1">
      <c r="A364" s="24">
        <v>402338.54</v>
      </c>
      <c r="B364" s="23">
        <v>92.44</v>
      </c>
      <c r="C364" s="26">
        <v>3</v>
      </c>
      <c r="D364" s="23">
        <v>3</v>
      </c>
      <c r="E364" s="23">
        <v>0</v>
      </c>
      <c r="F364" s="23">
        <v>30.42</v>
      </c>
    </row>
    <row r="365" spans="1:6" ht="18" customHeight="1">
      <c r="A365" s="19">
        <v>676923.5</v>
      </c>
      <c r="B365" s="18">
        <v>13.27</v>
      </c>
      <c r="C365" s="25">
        <v>4</v>
      </c>
      <c r="D365" s="18">
        <v>4</v>
      </c>
      <c r="E365" s="18">
        <v>0</v>
      </c>
      <c r="F365" s="18">
        <v>26.05</v>
      </c>
    </row>
    <row r="366" spans="1:6" ht="18" customHeight="1">
      <c r="A366" s="24">
        <v>1243386.1599999999</v>
      </c>
      <c r="B366" s="23">
        <v>52.23</v>
      </c>
      <c r="C366" s="26">
        <v>4</v>
      </c>
      <c r="D366" s="23">
        <v>5</v>
      </c>
      <c r="E366" s="23">
        <v>1</v>
      </c>
      <c r="F366" s="23">
        <v>1.91</v>
      </c>
    </row>
    <row r="367" spans="1:6" ht="18" customHeight="1">
      <c r="A367" s="19">
        <v>265357.64</v>
      </c>
      <c r="B367" s="18">
        <v>63.49</v>
      </c>
      <c r="C367" s="25">
        <v>7</v>
      </c>
      <c r="D367" s="18">
        <v>3</v>
      </c>
      <c r="E367" s="18">
        <v>0</v>
      </c>
      <c r="F367" s="18">
        <v>14.97</v>
      </c>
    </row>
    <row r="368" spans="1:6" ht="18" customHeight="1">
      <c r="A368" s="24">
        <v>315396.38</v>
      </c>
      <c r="B368" s="23">
        <v>66.16</v>
      </c>
      <c r="C368" s="26">
        <v>8</v>
      </c>
      <c r="D368" s="23">
        <v>3</v>
      </c>
      <c r="E368" s="23">
        <v>0</v>
      </c>
      <c r="F368" s="23">
        <v>34.64</v>
      </c>
    </row>
    <row r="369" spans="1:6" ht="18" customHeight="1">
      <c r="A369" s="19">
        <v>749972.66</v>
      </c>
      <c r="B369" s="18">
        <v>74.14</v>
      </c>
      <c r="C369" s="25">
        <v>4</v>
      </c>
      <c r="D369" s="18">
        <v>5</v>
      </c>
      <c r="E369" s="18">
        <v>1</v>
      </c>
      <c r="F369" s="18">
        <v>13.6</v>
      </c>
    </row>
    <row r="370" spans="1:6" ht="18" customHeight="1">
      <c r="A370" s="24">
        <v>389637.99</v>
      </c>
      <c r="B370" s="23">
        <v>74.680000000000007</v>
      </c>
      <c r="C370" s="26">
        <v>4</v>
      </c>
      <c r="D370" s="23">
        <v>5</v>
      </c>
      <c r="E370" s="23">
        <v>0</v>
      </c>
      <c r="F370" s="23">
        <v>29.76</v>
      </c>
    </row>
    <row r="371" spans="1:6" ht="18" customHeight="1">
      <c r="A371" s="19">
        <v>756035.19</v>
      </c>
      <c r="B371" s="18">
        <v>91.22</v>
      </c>
      <c r="C371" s="25">
        <v>3</v>
      </c>
      <c r="D371" s="18">
        <v>2</v>
      </c>
      <c r="E371" s="18">
        <v>0</v>
      </c>
      <c r="F371" s="18">
        <v>30.23</v>
      </c>
    </row>
    <row r="372" spans="1:6" ht="18" customHeight="1">
      <c r="A372" s="24">
        <v>665932.21</v>
      </c>
      <c r="B372" s="23">
        <v>74.23</v>
      </c>
      <c r="C372" s="26">
        <v>3</v>
      </c>
      <c r="D372" s="23">
        <v>3</v>
      </c>
      <c r="E372" s="23">
        <v>1</v>
      </c>
      <c r="F372" s="23">
        <v>15.33</v>
      </c>
    </row>
    <row r="373" spans="1:6" ht="18" customHeight="1">
      <c r="A373" s="19">
        <v>1051216.3500000001</v>
      </c>
      <c r="B373" s="18">
        <v>80.010000000000005</v>
      </c>
      <c r="C373" s="25">
        <v>2</v>
      </c>
      <c r="D373" s="18">
        <v>4</v>
      </c>
      <c r="E373" s="18">
        <v>1</v>
      </c>
      <c r="F373" s="18">
        <v>28.62</v>
      </c>
    </row>
    <row r="374" spans="1:6" ht="18" customHeight="1">
      <c r="A374" s="24">
        <v>249385.76</v>
      </c>
      <c r="B374" s="23">
        <v>55.25</v>
      </c>
      <c r="C374" s="26">
        <v>5</v>
      </c>
      <c r="D374" s="23">
        <v>4</v>
      </c>
      <c r="E374" s="23">
        <v>1</v>
      </c>
      <c r="F374" s="23">
        <v>5.79</v>
      </c>
    </row>
    <row r="375" spans="1:6" ht="18" customHeight="1">
      <c r="A375" s="19">
        <v>503033.35</v>
      </c>
      <c r="B375" s="18">
        <v>65.900000000000006</v>
      </c>
      <c r="C375" s="25">
        <v>4</v>
      </c>
      <c r="D375" s="18">
        <v>3</v>
      </c>
      <c r="E375" s="18">
        <v>1</v>
      </c>
      <c r="F375" s="18">
        <v>36.380000000000003</v>
      </c>
    </row>
    <row r="376" spans="1:6" ht="18" customHeight="1">
      <c r="A376" s="24">
        <v>1336616.25</v>
      </c>
      <c r="B376" s="23">
        <v>50.64</v>
      </c>
      <c r="C376" s="26">
        <v>2</v>
      </c>
      <c r="D376" s="23">
        <v>3</v>
      </c>
      <c r="E376" s="23">
        <v>1</v>
      </c>
      <c r="F376" s="23">
        <v>1.22</v>
      </c>
    </row>
    <row r="377" spans="1:6" ht="18" customHeight="1">
      <c r="A377" s="19">
        <v>947183.62</v>
      </c>
      <c r="B377" s="18">
        <v>33.5</v>
      </c>
      <c r="C377" s="25">
        <v>5</v>
      </c>
      <c r="D377" s="18">
        <v>3</v>
      </c>
      <c r="E377" s="18">
        <v>0</v>
      </c>
      <c r="F377" s="18">
        <v>1.86</v>
      </c>
    </row>
    <row r="378" spans="1:6" ht="18" customHeight="1">
      <c r="A378" s="24">
        <v>1762802.3</v>
      </c>
      <c r="B378" s="23">
        <v>36.64</v>
      </c>
      <c r="C378" s="26">
        <v>2</v>
      </c>
      <c r="D378" s="23">
        <v>4</v>
      </c>
      <c r="E378" s="23">
        <v>1</v>
      </c>
      <c r="F378" s="23">
        <v>43.53</v>
      </c>
    </row>
    <row r="379" spans="1:6" ht="18" customHeight="1">
      <c r="A379" s="19">
        <v>1202784.69</v>
      </c>
      <c r="B379" s="18">
        <v>40.65</v>
      </c>
      <c r="C379" s="25">
        <v>6</v>
      </c>
      <c r="D379" s="18">
        <v>2</v>
      </c>
      <c r="E379" s="18">
        <v>1</v>
      </c>
      <c r="F379" s="18">
        <v>29.06</v>
      </c>
    </row>
    <row r="380" spans="1:6" ht="18" customHeight="1">
      <c r="A380" s="24">
        <v>250234.45</v>
      </c>
      <c r="B380" s="23">
        <v>38.950000000000003</v>
      </c>
      <c r="C380" s="26">
        <v>5</v>
      </c>
      <c r="D380" s="23">
        <v>3</v>
      </c>
      <c r="E380" s="23">
        <v>0</v>
      </c>
      <c r="F380" s="23">
        <v>8.23</v>
      </c>
    </row>
    <row r="381" spans="1:6" ht="18" customHeight="1">
      <c r="A381" s="19">
        <v>836597.22</v>
      </c>
      <c r="B381" s="18">
        <v>55.32</v>
      </c>
      <c r="C381" s="25">
        <v>4</v>
      </c>
      <c r="D381" s="18">
        <v>3</v>
      </c>
      <c r="E381" s="18">
        <v>1</v>
      </c>
      <c r="F381" s="18">
        <v>30.12</v>
      </c>
    </row>
    <row r="382" spans="1:6" ht="18" customHeight="1">
      <c r="A382" s="24">
        <v>368887.03</v>
      </c>
      <c r="B382" s="23">
        <v>31.05</v>
      </c>
      <c r="C382" s="26">
        <v>6</v>
      </c>
      <c r="D382" s="23">
        <v>4</v>
      </c>
      <c r="E382" s="23">
        <v>1</v>
      </c>
      <c r="F382" s="23">
        <v>18.559999999999999</v>
      </c>
    </row>
    <row r="383" spans="1:6" ht="18" customHeight="1">
      <c r="A383" s="19">
        <v>7377030.6200000001</v>
      </c>
      <c r="B383" s="18">
        <v>53.91</v>
      </c>
      <c r="C383" s="25">
        <v>1</v>
      </c>
      <c r="D383" s="18">
        <v>2</v>
      </c>
      <c r="E383" s="18">
        <v>1</v>
      </c>
      <c r="F383" s="18">
        <v>13.57</v>
      </c>
    </row>
    <row r="384" spans="1:6" ht="18" customHeight="1">
      <c r="A384" s="24">
        <v>610402.5</v>
      </c>
      <c r="B384" s="23">
        <v>87.88</v>
      </c>
      <c r="C384" s="26">
        <v>2</v>
      </c>
      <c r="D384" s="23">
        <v>3</v>
      </c>
      <c r="E384" s="23">
        <v>1</v>
      </c>
      <c r="F384" s="23">
        <v>40.590000000000003</v>
      </c>
    </row>
    <row r="385" spans="1:6" ht="18" customHeight="1">
      <c r="A385" s="19">
        <v>599001.69999999995</v>
      </c>
      <c r="B385" s="18">
        <v>44.51</v>
      </c>
      <c r="C385" s="25">
        <v>2</v>
      </c>
      <c r="D385" s="18">
        <v>2</v>
      </c>
      <c r="E385" s="18">
        <v>1</v>
      </c>
      <c r="F385" s="18">
        <v>23.92</v>
      </c>
    </row>
    <row r="386" spans="1:6" ht="18" customHeight="1">
      <c r="A386" s="24">
        <v>276765.68</v>
      </c>
      <c r="B386" s="23">
        <v>28.92</v>
      </c>
      <c r="C386" s="26">
        <v>5</v>
      </c>
      <c r="D386" s="23">
        <v>4</v>
      </c>
      <c r="E386" s="23">
        <v>1</v>
      </c>
      <c r="F386" s="23">
        <v>14.74</v>
      </c>
    </row>
    <row r="387" spans="1:6" ht="18" customHeight="1">
      <c r="A387" s="19">
        <v>184803.85</v>
      </c>
      <c r="B387" s="18">
        <v>39.479999999999997</v>
      </c>
      <c r="C387" s="25">
        <v>3</v>
      </c>
      <c r="D387" s="18">
        <v>4</v>
      </c>
      <c r="E387" s="18">
        <v>1</v>
      </c>
      <c r="F387" s="18">
        <v>47.19</v>
      </c>
    </row>
    <row r="388" spans="1:6" ht="18" customHeight="1">
      <c r="A388" s="24">
        <v>206620.04</v>
      </c>
      <c r="B388" s="23">
        <v>84.54</v>
      </c>
      <c r="C388" s="26">
        <v>7</v>
      </c>
      <c r="D388" s="23">
        <v>4</v>
      </c>
      <c r="E388" s="23">
        <v>0</v>
      </c>
      <c r="F388" s="23">
        <v>8.33</v>
      </c>
    </row>
    <row r="389" spans="1:6" ht="18" customHeight="1">
      <c r="A389" s="19">
        <v>628677.21</v>
      </c>
      <c r="B389" s="18">
        <v>90.04</v>
      </c>
      <c r="C389" s="25">
        <v>2</v>
      </c>
      <c r="D389" s="18">
        <v>1</v>
      </c>
      <c r="E389" s="18">
        <v>1</v>
      </c>
      <c r="F389" s="18">
        <v>7.19</v>
      </c>
    </row>
    <row r="390" spans="1:6" ht="18" customHeight="1">
      <c r="A390" s="24">
        <v>433999.37</v>
      </c>
      <c r="B390" s="23">
        <v>85.37</v>
      </c>
      <c r="C390" s="26">
        <v>5</v>
      </c>
      <c r="D390" s="23">
        <v>3</v>
      </c>
      <c r="E390" s="23">
        <v>0</v>
      </c>
      <c r="F390" s="23">
        <v>4.96</v>
      </c>
    </row>
    <row r="391" spans="1:6" ht="18" customHeight="1">
      <c r="A391" s="19">
        <v>486803.42</v>
      </c>
      <c r="B391" s="18">
        <v>34.42</v>
      </c>
      <c r="C391" s="25">
        <v>5</v>
      </c>
      <c r="D391" s="18">
        <v>1</v>
      </c>
      <c r="E391" s="18">
        <v>1</v>
      </c>
      <c r="F391" s="18">
        <v>6.31</v>
      </c>
    </row>
    <row r="392" spans="1:6" ht="18" customHeight="1">
      <c r="A392" s="24">
        <v>3055810.21</v>
      </c>
      <c r="B392" s="23">
        <v>42.97</v>
      </c>
      <c r="C392" s="26">
        <v>2</v>
      </c>
      <c r="D392" s="23">
        <v>3</v>
      </c>
      <c r="E392" s="23">
        <v>1</v>
      </c>
      <c r="F392" s="23">
        <v>12.71</v>
      </c>
    </row>
    <row r="393" spans="1:6" ht="18" customHeight="1">
      <c r="A393" s="19">
        <v>1168979.8600000001</v>
      </c>
      <c r="B393" s="18">
        <v>92.87</v>
      </c>
      <c r="C393" s="25">
        <v>3</v>
      </c>
      <c r="D393" s="18">
        <v>2</v>
      </c>
      <c r="E393" s="18">
        <v>1</v>
      </c>
      <c r="F393" s="18">
        <v>34.96</v>
      </c>
    </row>
    <row r="394" spans="1:6" ht="18" customHeight="1">
      <c r="A394" s="24">
        <v>350656.87</v>
      </c>
      <c r="B394" s="23">
        <v>37.53</v>
      </c>
      <c r="C394" s="26">
        <v>4</v>
      </c>
      <c r="D394" s="23">
        <v>4</v>
      </c>
      <c r="E394" s="23">
        <v>1</v>
      </c>
      <c r="F394" s="23">
        <v>33.630000000000003</v>
      </c>
    </row>
    <row r="395" spans="1:6" ht="18" customHeight="1">
      <c r="A395" s="19">
        <v>128505.45</v>
      </c>
      <c r="B395" s="18">
        <v>21.72</v>
      </c>
      <c r="C395" s="25">
        <v>9</v>
      </c>
      <c r="D395" s="18">
        <v>1</v>
      </c>
      <c r="E395" s="18">
        <v>1</v>
      </c>
      <c r="F395" s="18">
        <v>38.200000000000003</v>
      </c>
    </row>
    <row r="396" spans="1:6" ht="18" customHeight="1">
      <c r="A396" s="24">
        <v>2663499.73</v>
      </c>
      <c r="B396" s="23">
        <v>33.979999999999997</v>
      </c>
      <c r="C396" s="26">
        <v>1</v>
      </c>
      <c r="D396" s="23">
        <v>3</v>
      </c>
      <c r="E396" s="23">
        <v>1</v>
      </c>
      <c r="F396" s="23">
        <v>28.82</v>
      </c>
    </row>
    <row r="397" spans="1:6" ht="18" customHeight="1">
      <c r="A397" s="19">
        <v>448970.69</v>
      </c>
      <c r="B397" s="18">
        <v>91.94</v>
      </c>
      <c r="C397" s="25">
        <v>2</v>
      </c>
      <c r="D397" s="18">
        <v>1</v>
      </c>
      <c r="E397" s="18">
        <v>1</v>
      </c>
      <c r="F397" s="18">
        <v>24.68</v>
      </c>
    </row>
    <row r="398" spans="1:6" ht="18" customHeight="1">
      <c r="A398" s="24">
        <v>1487460.55</v>
      </c>
      <c r="B398" s="23">
        <v>45.35</v>
      </c>
      <c r="C398" s="26">
        <v>4</v>
      </c>
      <c r="D398" s="23">
        <v>3</v>
      </c>
      <c r="E398" s="23">
        <v>1</v>
      </c>
      <c r="F398" s="23">
        <v>21.65</v>
      </c>
    </row>
    <row r="399" spans="1:6" ht="18" customHeight="1">
      <c r="A399" s="19">
        <v>2011752.7</v>
      </c>
      <c r="B399" s="18">
        <v>89.38</v>
      </c>
      <c r="C399" s="25">
        <v>2</v>
      </c>
      <c r="D399" s="18">
        <v>3</v>
      </c>
      <c r="E399" s="18">
        <v>1</v>
      </c>
      <c r="F399" s="18">
        <v>43.74</v>
      </c>
    </row>
    <row r="400" spans="1:6" ht="18" customHeight="1">
      <c r="A400" s="24">
        <v>299256.61</v>
      </c>
      <c r="B400" s="23">
        <v>18.850000000000001</v>
      </c>
      <c r="C400" s="26">
        <v>5</v>
      </c>
      <c r="D400" s="23">
        <v>3</v>
      </c>
      <c r="E400" s="23">
        <v>1</v>
      </c>
      <c r="F400" s="23">
        <v>17.239999999999998</v>
      </c>
    </row>
    <row r="401" spans="1:6" ht="18" customHeight="1">
      <c r="A401" s="19">
        <v>141872.12</v>
      </c>
      <c r="B401" s="18">
        <v>75.11</v>
      </c>
      <c r="C401" s="25">
        <v>5</v>
      </c>
      <c r="D401" s="18">
        <v>2</v>
      </c>
      <c r="E401" s="18">
        <v>1</v>
      </c>
      <c r="F401" s="18">
        <v>44.59</v>
      </c>
    </row>
    <row r="402" spans="1:6" ht="18" customHeight="1">
      <c r="A402" s="24">
        <v>4467428.07</v>
      </c>
      <c r="B402" s="23">
        <v>17.93</v>
      </c>
      <c r="C402" s="26">
        <v>1</v>
      </c>
      <c r="D402" s="23">
        <v>1</v>
      </c>
      <c r="E402" s="23">
        <v>1</v>
      </c>
      <c r="F402" s="23">
        <v>13.85</v>
      </c>
    </row>
    <row r="403" spans="1:6" ht="18" customHeight="1">
      <c r="A403" s="19">
        <v>925536.56</v>
      </c>
      <c r="B403" s="18">
        <v>26.79</v>
      </c>
      <c r="C403" s="25">
        <v>2</v>
      </c>
      <c r="D403" s="18">
        <v>3</v>
      </c>
      <c r="E403" s="18">
        <v>1</v>
      </c>
      <c r="F403" s="18">
        <v>7.95</v>
      </c>
    </row>
    <row r="404" spans="1:6" ht="18" customHeight="1">
      <c r="A404" s="24">
        <v>595275.52000000002</v>
      </c>
      <c r="B404" s="23">
        <v>62.37</v>
      </c>
      <c r="C404" s="26">
        <v>7</v>
      </c>
      <c r="D404" s="23">
        <v>4</v>
      </c>
      <c r="E404" s="23">
        <v>0</v>
      </c>
      <c r="F404" s="23">
        <v>12.83</v>
      </c>
    </row>
    <row r="405" spans="1:6" ht="18" customHeight="1">
      <c r="A405" s="19">
        <v>126954.49</v>
      </c>
      <c r="B405" s="18">
        <v>46.93</v>
      </c>
      <c r="C405" s="25">
        <v>6</v>
      </c>
      <c r="D405" s="18">
        <v>4</v>
      </c>
      <c r="E405" s="18">
        <v>0</v>
      </c>
      <c r="F405" s="18">
        <v>25</v>
      </c>
    </row>
    <row r="406" spans="1:6" ht="18" customHeight="1">
      <c r="A406" s="24">
        <v>461281.01</v>
      </c>
      <c r="B406" s="23">
        <v>66.67</v>
      </c>
      <c r="C406" s="26">
        <v>3</v>
      </c>
      <c r="D406" s="23">
        <v>4</v>
      </c>
      <c r="E406" s="23">
        <v>1</v>
      </c>
      <c r="F406" s="23">
        <v>46.3</v>
      </c>
    </row>
    <row r="407" spans="1:6" ht="18" customHeight="1">
      <c r="A407" s="19">
        <v>497251.82</v>
      </c>
      <c r="B407" s="18">
        <v>92.74</v>
      </c>
      <c r="C407" s="25">
        <v>4</v>
      </c>
      <c r="D407" s="18">
        <v>5</v>
      </c>
      <c r="E407" s="18">
        <v>1</v>
      </c>
      <c r="F407" s="18">
        <v>8.9499999999999993</v>
      </c>
    </row>
    <row r="408" spans="1:6" ht="18" customHeight="1">
      <c r="A408" s="24">
        <v>254930.65</v>
      </c>
      <c r="B408" s="23">
        <v>14.48</v>
      </c>
      <c r="C408" s="26">
        <v>8</v>
      </c>
      <c r="D408" s="23">
        <v>3</v>
      </c>
      <c r="E408" s="23">
        <v>1</v>
      </c>
      <c r="F408" s="23">
        <v>29.04</v>
      </c>
    </row>
    <row r="409" spans="1:6" ht="18" customHeight="1">
      <c r="A409" s="19">
        <v>756769.15</v>
      </c>
      <c r="B409" s="18">
        <v>26.29</v>
      </c>
      <c r="C409" s="25">
        <v>2</v>
      </c>
      <c r="D409" s="18">
        <v>3</v>
      </c>
      <c r="E409" s="18">
        <v>1</v>
      </c>
      <c r="F409" s="18">
        <v>10.96</v>
      </c>
    </row>
    <row r="410" spans="1:6" ht="18" customHeight="1">
      <c r="A410" s="24">
        <v>576235.68999999994</v>
      </c>
      <c r="B410" s="23">
        <v>64.42</v>
      </c>
      <c r="C410" s="26">
        <v>5</v>
      </c>
      <c r="D410" s="23">
        <v>2</v>
      </c>
      <c r="E410" s="23">
        <v>0</v>
      </c>
      <c r="F410" s="23">
        <v>33.909999999999997</v>
      </c>
    </row>
    <row r="411" spans="1:6" ht="18" customHeight="1">
      <c r="A411" s="19">
        <v>261223.95</v>
      </c>
      <c r="B411" s="18">
        <v>86.2</v>
      </c>
      <c r="C411" s="25">
        <v>4</v>
      </c>
      <c r="D411" s="18">
        <v>5</v>
      </c>
      <c r="E411" s="18">
        <v>1</v>
      </c>
      <c r="F411" s="18">
        <v>23.31</v>
      </c>
    </row>
    <row r="412" spans="1:6" ht="18" customHeight="1">
      <c r="A412" s="24">
        <v>606803.32999999996</v>
      </c>
      <c r="B412" s="23">
        <v>77.8</v>
      </c>
      <c r="C412" s="26">
        <v>3</v>
      </c>
      <c r="D412" s="23">
        <v>3</v>
      </c>
      <c r="E412" s="23">
        <v>1</v>
      </c>
      <c r="F412" s="23">
        <v>36.700000000000003</v>
      </c>
    </row>
    <row r="413" spans="1:6" ht="18" customHeight="1">
      <c r="A413" s="19">
        <v>710386.94</v>
      </c>
      <c r="B413" s="18">
        <v>49.57</v>
      </c>
      <c r="C413" s="25">
        <v>3</v>
      </c>
      <c r="D413" s="18">
        <v>4</v>
      </c>
      <c r="E413" s="18">
        <v>1</v>
      </c>
      <c r="F413" s="18">
        <v>42.82</v>
      </c>
    </row>
    <row r="414" spans="1:6" ht="18" customHeight="1">
      <c r="A414" s="24">
        <v>674933.16</v>
      </c>
      <c r="B414" s="23">
        <v>73.37</v>
      </c>
      <c r="C414" s="26">
        <v>4</v>
      </c>
      <c r="D414" s="23">
        <v>1</v>
      </c>
      <c r="E414" s="23">
        <v>1</v>
      </c>
      <c r="F414" s="23">
        <v>16.8</v>
      </c>
    </row>
    <row r="415" spans="1:6" ht="18" customHeight="1">
      <c r="A415" s="19">
        <v>434112.41</v>
      </c>
      <c r="B415" s="18">
        <v>27.69</v>
      </c>
      <c r="C415" s="25">
        <v>7</v>
      </c>
      <c r="D415" s="18">
        <v>3</v>
      </c>
      <c r="E415" s="18">
        <v>1</v>
      </c>
      <c r="F415" s="18">
        <v>46.92</v>
      </c>
    </row>
    <row r="416" spans="1:6" ht="18" customHeight="1">
      <c r="A416" s="24">
        <v>201950.29</v>
      </c>
      <c r="B416" s="23">
        <v>11.17</v>
      </c>
      <c r="C416" s="26">
        <v>5</v>
      </c>
      <c r="D416" s="23">
        <v>4</v>
      </c>
      <c r="E416" s="23">
        <v>1</v>
      </c>
      <c r="F416" s="23">
        <v>23.47</v>
      </c>
    </row>
    <row r="417" spans="1:6" ht="18" customHeight="1">
      <c r="A417" s="19">
        <v>394898.61</v>
      </c>
      <c r="B417" s="18">
        <v>58.45</v>
      </c>
      <c r="C417" s="25">
        <v>2</v>
      </c>
      <c r="D417" s="18">
        <v>2</v>
      </c>
      <c r="E417" s="18">
        <v>1</v>
      </c>
      <c r="F417" s="18">
        <v>46.84</v>
      </c>
    </row>
    <row r="418" spans="1:6" ht="18" customHeight="1">
      <c r="A418" s="24">
        <v>1066946.8700000001</v>
      </c>
      <c r="B418" s="23">
        <v>79.13</v>
      </c>
      <c r="C418" s="26">
        <v>4</v>
      </c>
      <c r="D418" s="23">
        <v>1</v>
      </c>
      <c r="E418" s="23">
        <v>1</v>
      </c>
      <c r="F418" s="23">
        <v>11.61</v>
      </c>
    </row>
    <row r="419" spans="1:6" ht="18" customHeight="1">
      <c r="A419" s="19">
        <v>605066.74</v>
      </c>
      <c r="B419" s="18">
        <v>46.84</v>
      </c>
      <c r="C419" s="25">
        <v>4</v>
      </c>
      <c r="D419" s="18">
        <v>4</v>
      </c>
      <c r="E419" s="18">
        <v>0</v>
      </c>
      <c r="F419" s="18">
        <v>44.86</v>
      </c>
    </row>
    <row r="420" spans="1:6" ht="18" customHeight="1">
      <c r="A420" s="24">
        <v>632705.85</v>
      </c>
      <c r="B420" s="23">
        <v>58.39</v>
      </c>
      <c r="C420" s="26">
        <v>2</v>
      </c>
      <c r="D420" s="23">
        <v>2</v>
      </c>
      <c r="E420" s="23">
        <v>0</v>
      </c>
      <c r="F420" s="23">
        <v>16.75</v>
      </c>
    </row>
    <row r="421" spans="1:6" ht="18" customHeight="1">
      <c r="A421" s="19">
        <v>1676265.39</v>
      </c>
      <c r="B421" s="18">
        <v>45.89</v>
      </c>
      <c r="C421" s="25">
        <v>3</v>
      </c>
      <c r="D421" s="18">
        <v>3</v>
      </c>
      <c r="E421" s="18">
        <v>0</v>
      </c>
      <c r="F421" s="18">
        <v>37.56</v>
      </c>
    </row>
    <row r="422" spans="1:6" ht="18" customHeight="1">
      <c r="A422" s="24">
        <v>1062630.08</v>
      </c>
      <c r="B422" s="23">
        <v>53.69</v>
      </c>
      <c r="C422" s="26">
        <v>2</v>
      </c>
      <c r="D422" s="23">
        <v>3</v>
      </c>
      <c r="E422" s="23">
        <v>1</v>
      </c>
      <c r="F422" s="23">
        <v>48.41</v>
      </c>
    </row>
    <row r="423" spans="1:6" ht="18" customHeight="1">
      <c r="A423" s="19">
        <v>1341053.45</v>
      </c>
      <c r="B423" s="18">
        <v>85.17</v>
      </c>
      <c r="C423" s="25">
        <v>3</v>
      </c>
      <c r="D423" s="18">
        <v>1</v>
      </c>
      <c r="E423" s="18">
        <v>1</v>
      </c>
      <c r="F423" s="18">
        <v>45.62</v>
      </c>
    </row>
    <row r="424" spans="1:6" ht="18" customHeight="1">
      <c r="A424" s="24">
        <v>412946.44</v>
      </c>
      <c r="B424" s="23">
        <v>50.64</v>
      </c>
      <c r="C424" s="26">
        <v>5</v>
      </c>
      <c r="D424" s="23">
        <v>1</v>
      </c>
      <c r="E424" s="23">
        <v>0</v>
      </c>
      <c r="F424" s="23">
        <v>23.24</v>
      </c>
    </row>
    <row r="425" spans="1:6" ht="18" customHeight="1">
      <c r="A425" s="19">
        <v>6827360.8700000001</v>
      </c>
      <c r="B425" s="18">
        <v>10.64</v>
      </c>
      <c r="C425" s="25">
        <v>1</v>
      </c>
      <c r="D425" s="18">
        <v>5</v>
      </c>
      <c r="E425" s="18">
        <v>0</v>
      </c>
      <c r="F425" s="18">
        <v>17.309999999999999</v>
      </c>
    </row>
    <row r="426" spans="1:6" ht="18" customHeight="1">
      <c r="A426" s="24">
        <v>1894740.06</v>
      </c>
      <c r="B426" s="23">
        <v>77.989999999999995</v>
      </c>
      <c r="C426" s="26">
        <v>3</v>
      </c>
      <c r="D426" s="23">
        <v>2</v>
      </c>
      <c r="E426" s="23">
        <v>1</v>
      </c>
      <c r="F426" s="23">
        <v>30.67</v>
      </c>
    </row>
    <row r="427" spans="1:6" ht="18" customHeight="1">
      <c r="A427" s="19">
        <v>1707637.7</v>
      </c>
      <c r="B427" s="18">
        <v>62.51</v>
      </c>
      <c r="C427" s="25">
        <v>1</v>
      </c>
      <c r="D427" s="18">
        <v>2</v>
      </c>
      <c r="E427" s="18">
        <v>0</v>
      </c>
      <c r="F427" s="18">
        <v>35.32</v>
      </c>
    </row>
    <row r="428" spans="1:6" ht="18" customHeight="1">
      <c r="A428" s="24">
        <v>591953.34</v>
      </c>
      <c r="B428" s="23">
        <v>72.08</v>
      </c>
      <c r="C428" s="26">
        <v>6</v>
      </c>
      <c r="D428" s="23">
        <v>1</v>
      </c>
      <c r="E428" s="23">
        <v>0</v>
      </c>
      <c r="F428" s="23">
        <v>27.06</v>
      </c>
    </row>
    <row r="429" spans="1:6" ht="18" customHeight="1">
      <c r="A429" s="19">
        <v>1460191.85</v>
      </c>
      <c r="B429" s="18">
        <v>86.59</v>
      </c>
      <c r="C429" s="25">
        <v>2</v>
      </c>
      <c r="D429" s="18">
        <v>2</v>
      </c>
      <c r="E429" s="18">
        <v>0</v>
      </c>
      <c r="F429" s="18">
        <v>42.44</v>
      </c>
    </row>
    <row r="430" spans="1:6" ht="18" customHeight="1">
      <c r="A430" s="24">
        <v>2253582.5499999998</v>
      </c>
      <c r="B430" s="23">
        <v>34.33</v>
      </c>
      <c r="C430" s="26">
        <v>2</v>
      </c>
      <c r="D430" s="23">
        <v>3</v>
      </c>
      <c r="E430" s="23">
        <v>1</v>
      </c>
      <c r="F430" s="23">
        <v>3.01</v>
      </c>
    </row>
    <row r="431" spans="1:6" ht="18" customHeight="1">
      <c r="A431" s="19">
        <v>555652.69999999995</v>
      </c>
      <c r="B431" s="18">
        <v>52.76</v>
      </c>
      <c r="C431" s="25">
        <v>2</v>
      </c>
      <c r="D431" s="18">
        <v>2</v>
      </c>
      <c r="E431" s="18">
        <v>0</v>
      </c>
      <c r="F431" s="18">
        <v>30.02</v>
      </c>
    </row>
    <row r="432" spans="1:6" ht="18" customHeight="1">
      <c r="A432" s="24">
        <v>498755.57</v>
      </c>
      <c r="B432" s="23">
        <v>61.21</v>
      </c>
      <c r="C432" s="26">
        <v>6</v>
      </c>
      <c r="D432" s="23">
        <v>3</v>
      </c>
      <c r="E432" s="23">
        <v>0</v>
      </c>
      <c r="F432" s="23">
        <v>26.31</v>
      </c>
    </row>
    <row r="433" spans="1:6" ht="18" customHeight="1">
      <c r="A433" s="19">
        <v>1247238.42</v>
      </c>
      <c r="B433" s="18">
        <v>39.36</v>
      </c>
      <c r="C433" s="25">
        <v>3</v>
      </c>
      <c r="D433" s="18">
        <v>4</v>
      </c>
      <c r="E433" s="18">
        <v>1</v>
      </c>
      <c r="F433" s="18">
        <v>2.06</v>
      </c>
    </row>
    <row r="434" spans="1:6" ht="18" customHeight="1">
      <c r="A434" s="24">
        <v>230071.18</v>
      </c>
      <c r="B434" s="23">
        <v>81.92</v>
      </c>
      <c r="C434" s="26">
        <v>3</v>
      </c>
      <c r="D434" s="23">
        <v>3</v>
      </c>
      <c r="E434" s="23">
        <v>0</v>
      </c>
      <c r="F434" s="23">
        <v>0.73</v>
      </c>
    </row>
    <row r="435" spans="1:6" ht="18" customHeight="1">
      <c r="A435" s="19">
        <v>324951.95</v>
      </c>
      <c r="B435" s="18">
        <v>69.290000000000006</v>
      </c>
      <c r="C435" s="25">
        <v>3</v>
      </c>
      <c r="D435" s="18">
        <v>3</v>
      </c>
      <c r="E435" s="18">
        <v>1</v>
      </c>
      <c r="F435" s="18">
        <v>30.35</v>
      </c>
    </row>
    <row r="436" spans="1:6" ht="18" customHeight="1">
      <c r="A436" s="24">
        <v>291651.09999999998</v>
      </c>
      <c r="B436" s="23">
        <v>72.34</v>
      </c>
      <c r="C436" s="26">
        <v>2</v>
      </c>
      <c r="D436" s="23">
        <v>4</v>
      </c>
      <c r="E436" s="23">
        <v>0</v>
      </c>
      <c r="F436" s="23">
        <v>5.99</v>
      </c>
    </row>
    <row r="437" spans="1:6" ht="18" customHeight="1">
      <c r="A437" s="19">
        <v>562273.47</v>
      </c>
      <c r="B437" s="18">
        <v>78.680000000000007</v>
      </c>
      <c r="C437" s="25">
        <v>3</v>
      </c>
      <c r="D437" s="18">
        <v>4</v>
      </c>
      <c r="E437" s="18">
        <v>1</v>
      </c>
      <c r="F437" s="18">
        <v>38.450000000000003</v>
      </c>
    </row>
    <row r="438" spans="1:6" ht="18" customHeight="1">
      <c r="A438" s="24">
        <v>1524806.65</v>
      </c>
      <c r="B438" s="23">
        <v>31.94</v>
      </c>
      <c r="C438" s="26">
        <v>2</v>
      </c>
      <c r="D438" s="23">
        <v>3</v>
      </c>
      <c r="E438" s="23">
        <v>0</v>
      </c>
      <c r="F438" s="23">
        <v>47.47</v>
      </c>
    </row>
    <row r="439" spans="1:6" ht="18" customHeight="1">
      <c r="A439" s="19">
        <v>542633.63</v>
      </c>
      <c r="B439" s="18">
        <v>73.38</v>
      </c>
      <c r="C439" s="25">
        <v>9</v>
      </c>
      <c r="D439" s="18">
        <v>1</v>
      </c>
      <c r="E439" s="18">
        <v>1</v>
      </c>
      <c r="F439" s="18">
        <v>8.9499999999999993</v>
      </c>
    </row>
    <row r="440" spans="1:6" ht="18" customHeight="1">
      <c r="A440" s="24">
        <v>188445.02</v>
      </c>
      <c r="B440" s="23">
        <v>75.77</v>
      </c>
      <c r="C440" s="26">
        <v>11</v>
      </c>
      <c r="D440" s="23">
        <v>3</v>
      </c>
      <c r="E440" s="23">
        <v>1</v>
      </c>
      <c r="F440" s="23">
        <v>39.950000000000003</v>
      </c>
    </row>
    <row r="441" spans="1:6" ht="18" customHeight="1">
      <c r="A441" s="19">
        <v>1317010.52</v>
      </c>
      <c r="B441" s="18">
        <v>81.599999999999994</v>
      </c>
      <c r="C441" s="25">
        <v>4</v>
      </c>
      <c r="D441" s="18">
        <v>3</v>
      </c>
      <c r="E441" s="18">
        <v>1</v>
      </c>
      <c r="F441" s="18">
        <v>29.61</v>
      </c>
    </row>
    <row r="442" spans="1:6" ht="18" customHeight="1">
      <c r="A442" s="24">
        <v>216564.73</v>
      </c>
      <c r="B442" s="23">
        <v>51.53</v>
      </c>
      <c r="C442" s="26">
        <v>4</v>
      </c>
      <c r="D442" s="23">
        <v>1</v>
      </c>
      <c r="E442" s="23">
        <v>1</v>
      </c>
      <c r="F442" s="23">
        <v>22.45</v>
      </c>
    </row>
    <row r="443" spans="1:6" ht="18" customHeight="1">
      <c r="A443" s="19">
        <v>118920.57</v>
      </c>
      <c r="B443" s="18">
        <v>52.86</v>
      </c>
      <c r="C443" s="25">
        <v>6</v>
      </c>
      <c r="D443" s="18">
        <v>1</v>
      </c>
      <c r="E443" s="18">
        <v>1</v>
      </c>
      <c r="F443" s="18">
        <v>32.549999999999997</v>
      </c>
    </row>
    <row r="444" spans="1:6" ht="18" customHeight="1">
      <c r="A444" s="24">
        <v>1917765.72</v>
      </c>
      <c r="B444" s="23">
        <v>18.350000000000001</v>
      </c>
      <c r="C444" s="26">
        <v>1</v>
      </c>
      <c r="D444" s="23">
        <v>5</v>
      </c>
      <c r="E444" s="23">
        <v>1</v>
      </c>
      <c r="F444" s="23">
        <v>40.14</v>
      </c>
    </row>
    <row r="445" spans="1:6" ht="18" customHeight="1">
      <c r="A445" s="19">
        <v>832199.09</v>
      </c>
      <c r="B445" s="18">
        <v>82.43</v>
      </c>
      <c r="C445" s="25">
        <v>3</v>
      </c>
      <c r="D445" s="18">
        <v>4</v>
      </c>
      <c r="E445" s="18">
        <v>1</v>
      </c>
      <c r="F445" s="18">
        <v>48.54</v>
      </c>
    </row>
    <row r="446" spans="1:6" ht="18" customHeight="1">
      <c r="A446" s="24">
        <v>486060.7</v>
      </c>
      <c r="B446" s="23">
        <v>55.35</v>
      </c>
      <c r="C446" s="26">
        <v>4</v>
      </c>
      <c r="D446" s="23">
        <v>2</v>
      </c>
      <c r="E446" s="23">
        <v>1</v>
      </c>
      <c r="F446" s="23">
        <v>33.06</v>
      </c>
    </row>
    <row r="447" spans="1:6" ht="18" customHeight="1">
      <c r="A447" s="19">
        <v>286756.17</v>
      </c>
      <c r="B447" s="18">
        <v>60.53</v>
      </c>
      <c r="C447" s="25">
        <v>2</v>
      </c>
      <c r="D447" s="18">
        <v>3</v>
      </c>
      <c r="E447" s="18">
        <v>0</v>
      </c>
      <c r="F447" s="18">
        <v>37.369999999999997</v>
      </c>
    </row>
    <row r="448" spans="1:6" ht="18" customHeight="1">
      <c r="A448" s="24">
        <v>1879521.87</v>
      </c>
      <c r="B448" s="23">
        <v>20.32</v>
      </c>
      <c r="C448" s="26">
        <v>1</v>
      </c>
      <c r="D448" s="23">
        <v>2</v>
      </c>
      <c r="E448" s="23">
        <v>0</v>
      </c>
      <c r="F448" s="23">
        <v>30.42</v>
      </c>
    </row>
    <row r="449" spans="1:6" ht="18" customHeight="1">
      <c r="A449" s="19">
        <v>453237.3</v>
      </c>
      <c r="B449" s="18">
        <v>61.15</v>
      </c>
      <c r="C449" s="25">
        <v>2</v>
      </c>
      <c r="D449" s="18">
        <v>1</v>
      </c>
      <c r="E449" s="18">
        <v>1</v>
      </c>
      <c r="F449" s="18">
        <v>28.3</v>
      </c>
    </row>
    <row r="450" spans="1:6" ht="18" customHeight="1">
      <c r="A450" s="24">
        <v>987756.25</v>
      </c>
      <c r="B450" s="23">
        <v>13.57</v>
      </c>
      <c r="C450" s="26">
        <v>3</v>
      </c>
      <c r="D450" s="23">
        <v>2</v>
      </c>
      <c r="E450" s="23">
        <v>1</v>
      </c>
      <c r="F450" s="23">
        <v>3.33</v>
      </c>
    </row>
    <row r="451" spans="1:6" ht="18" customHeight="1">
      <c r="A451" s="19">
        <v>2470568.7599999998</v>
      </c>
      <c r="B451" s="18">
        <v>88.47</v>
      </c>
      <c r="C451" s="25">
        <v>1</v>
      </c>
      <c r="D451" s="18">
        <v>3</v>
      </c>
      <c r="E451" s="18">
        <v>1</v>
      </c>
      <c r="F451" s="18">
        <v>7.84</v>
      </c>
    </row>
    <row r="452" spans="1:6" ht="18" customHeight="1">
      <c r="A452" s="24">
        <v>161161.46</v>
      </c>
      <c r="B452" s="23">
        <v>83.4</v>
      </c>
      <c r="C452" s="26">
        <v>7</v>
      </c>
      <c r="D452" s="23">
        <v>5</v>
      </c>
      <c r="E452" s="23">
        <v>1</v>
      </c>
      <c r="F452" s="23">
        <v>19.02</v>
      </c>
    </row>
    <row r="453" spans="1:6" ht="18" customHeight="1">
      <c r="A453" s="19">
        <v>242782.29</v>
      </c>
      <c r="B453" s="18">
        <v>26.52</v>
      </c>
      <c r="C453" s="25">
        <v>6</v>
      </c>
      <c r="D453" s="18">
        <v>4</v>
      </c>
      <c r="E453" s="18">
        <v>1</v>
      </c>
      <c r="F453" s="18">
        <v>32.51</v>
      </c>
    </row>
    <row r="454" spans="1:6" ht="18" customHeight="1">
      <c r="A454" s="24">
        <v>262544.93</v>
      </c>
      <c r="B454" s="23">
        <v>60.47</v>
      </c>
      <c r="C454" s="26">
        <v>4</v>
      </c>
      <c r="D454" s="23">
        <v>2</v>
      </c>
      <c r="E454" s="23">
        <v>0</v>
      </c>
      <c r="F454" s="23">
        <v>3.88</v>
      </c>
    </row>
    <row r="455" spans="1:6" ht="18" customHeight="1">
      <c r="A455" s="19">
        <v>477394.36</v>
      </c>
      <c r="B455" s="18">
        <v>61.23</v>
      </c>
      <c r="C455" s="25">
        <v>4</v>
      </c>
      <c r="D455" s="18">
        <v>2</v>
      </c>
      <c r="E455" s="18">
        <v>1</v>
      </c>
      <c r="F455" s="18">
        <v>27.26</v>
      </c>
    </row>
    <row r="456" spans="1:6" ht="18" customHeight="1">
      <c r="A456" s="24">
        <v>1758441.06</v>
      </c>
      <c r="B456" s="23">
        <v>78.290000000000006</v>
      </c>
      <c r="C456" s="26">
        <v>2</v>
      </c>
      <c r="D456" s="23">
        <v>3</v>
      </c>
      <c r="E456" s="23">
        <v>0</v>
      </c>
      <c r="F456" s="23">
        <v>0.76</v>
      </c>
    </row>
    <row r="457" spans="1:6" ht="18" customHeight="1">
      <c r="A457" s="19">
        <v>365840.27</v>
      </c>
      <c r="B457" s="18">
        <v>74.34</v>
      </c>
      <c r="C457" s="25">
        <v>3</v>
      </c>
      <c r="D457" s="18">
        <v>2</v>
      </c>
      <c r="E457" s="18">
        <v>1</v>
      </c>
      <c r="F457" s="18">
        <v>38.33</v>
      </c>
    </row>
    <row r="458" spans="1:6" ht="18" customHeight="1">
      <c r="A458" s="24">
        <v>383278.73</v>
      </c>
      <c r="B458" s="23">
        <v>94.43</v>
      </c>
      <c r="C458" s="26">
        <v>7</v>
      </c>
      <c r="D458" s="23">
        <v>4</v>
      </c>
      <c r="E458" s="23">
        <v>0</v>
      </c>
      <c r="F458" s="23">
        <v>33.380000000000003</v>
      </c>
    </row>
    <row r="459" spans="1:6" ht="18" customHeight="1">
      <c r="A459" s="19">
        <v>480812.73</v>
      </c>
      <c r="B459" s="18">
        <v>39.82</v>
      </c>
      <c r="C459" s="25">
        <v>3</v>
      </c>
      <c r="D459" s="18">
        <v>2</v>
      </c>
      <c r="E459" s="18">
        <v>0</v>
      </c>
      <c r="F459" s="18">
        <v>26.08</v>
      </c>
    </row>
    <row r="460" spans="1:6" ht="18" customHeight="1">
      <c r="A460" s="24">
        <v>205359.39</v>
      </c>
      <c r="B460" s="23">
        <v>20.59</v>
      </c>
      <c r="C460" s="26">
        <v>6</v>
      </c>
      <c r="D460" s="23">
        <v>2</v>
      </c>
      <c r="E460" s="23">
        <v>1</v>
      </c>
      <c r="F460" s="23">
        <v>28.6</v>
      </c>
    </row>
    <row r="461" spans="1:6" ht="18" customHeight="1">
      <c r="A461" s="19">
        <v>309905.38</v>
      </c>
      <c r="B461" s="18">
        <v>58.75</v>
      </c>
      <c r="C461" s="25">
        <v>6</v>
      </c>
      <c r="D461" s="18">
        <v>3</v>
      </c>
      <c r="E461" s="18">
        <v>1</v>
      </c>
      <c r="F461" s="18">
        <v>46.64</v>
      </c>
    </row>
    <row r="462" spans="1:6" ht="18" customHeight="1">
      <c r="A462" s="24">
        <v>355131.11</v>
      </c>
      <c r="B462" s="23">
        <v>74.94</v>
      </c>
      <c r="C462" s="26">
        <v>3</v>
      </c>
      <c r="D462" s="23">
        <v>1</v>
      </c>
      <c r="E462" s="23">
        <v>1</v>
      </c>
      <c r="F462" s="23">
        <v>45.34</v>
      </c>
    </row>
    <row r="463" spans="1:6" ht="18" customHeight="1">
      <c r="A463" s="19">
        <v>237055.83</v>
      </c>
      <c r="B463" s="18">
        <v>34.29</v>
      </c>
      <c r="C463" s="25">
        <v>6</v>
      </c>
      <c r="D463" s="18">
        <v>3</v>
      </c>
      <c r="E463" s="18">
        <v>1</v>
      </c>
      <c r="F463" s="18">
        <v>39.659999999999997</v>
      </c>
    </row>
    <row r="464" spans="1:6" ht="18" customHeight="1">
      <c r="A464" s="24">
        <v>161057.03</v>
      </c>
      <c r="B464" s="23">
        <v>30.08</v>
      </c>
      <c r="C464" s="26">
        <v>6</v>
      </c>
      <c r="D464" s="23">
        <v>5</v>
      </c>
      <c r="E464" s="23">
        <v>1</v>
      </c>
      <c r="F464" s="23">
        <v>16.88</v>
      </c>
    </row>
    <row r="465" spans="1:6" ht="18" customHeight="1">
      <c r="A465" s="19">
        <v>1289025.6299999999</v>
      </c>
      <c r="B465" s="18">
        <v>78.209999999999994</v>
      </c>
      <c r="C465" s="25">
        <v>5</v>
      </c>
      <c r="D465" s="18">
        <v>3</v>
      </c>
      <c r="E465" s="18">
        <v>1</v>
      </c>
      <c r="F465" s="18">
        <v>5.45</v>
      </c>
    </row>
    <row r="466" spans="1:6" ht="18" customHeight="1">
      <c r="A466" s="24">
        <v>405031.54</v>
      </c>
      <c r="B466" s="23">
        <v>74.069999999999993</v>
      </c>
      <c r="C466" s="26">
        <v>5</v>
      </c>
      <c r="D466" s="23">
        <v>4</v>
      </c>
      <c r="E466" s="23">
        <v>1</v>
      </c>
      <c r="F466" s="23">
        <v>16.14</v>
      </c>
    </row>
    <row r="467" spans="1:6" ht="18" customHeight="1">
      <c r="A467" s="19">
        <v>651490.12</v>
      </c>
      <c r="B467" s="18">
        <v>27.29</v>
      </c>
      <c r="C467" s="25">
        <v>2</v>
      </c>
      <c r="D467" s="18">
        <v>3</v>
      </c>
      <c r="E467" s="18">
        <v>1</v>
      </c>
      <c r="F467" s="18">
        <v>37.619999999999997</v>
      </c>
    </row>
    <row r="468" spans="1:6" ht="18" customHeight="1">
      <c r="A468" s="24">
        <v>2254385.41</v>
      </c>
      <c r="B468" s="23">
        <v>83.89</v>
      </c>
      <c r="C468" s="26">
        <v>1</v>
      </c>
      <c r="D468" s="23">
        <v>2</v>
      </c>
      <c r="E468" s="23">
        <v>1</v>
      </c>
      <c r="F468" s="23">
        <v>30.59</v>
      </c>
    </row>
    <row r="469" spans="1:6" ht="18" customHeight="1">
      <c r="A469" s="19">
        <v>926765.63</v>
      </c>
      <c r="B469" s="18">
        <v>21.45</v>
      </c>
      <c r="C469" s="25">
        <v>2</v>
      </c>
      <c r="D469" s="18">
        <v>2</v>
      </c>
      <c r="E469" s="18">
        <v>1</v>
      </c>
      <c r="F469" s="18">
        <v>35.31</v>
      </c>
    </row>
    <row r="470" spans="1:6" ht="18" customHeight="1">
      <c r="A470" s="24">
        <v>868281.33</v>
      </c>
      <c r="B470" s="23">
        <v>19.29</v>
      </c>
      <c r="C470" s="26">
        <v>2</v>
      </c>
      <c r="D470" s="23">
        <v>3</v>
      </c>
      <c r="E470" s="23">
        <v>1</v>
      </c>
      <c r="F470" s="23">
        <v>5.36</v>
      </c>
    </row>
    <row r="471" spans="1:6" ht="18" customHeight="1">
      <c r="A471" s="19">
        <v>573241.35</v>
      </c>
      <c r="B471" s="18">
        <v>39.840000000000003</v>
      </c>
      <c r="C471" s="25">
        <v>5</v>
      </c>
      <c r="D471" s="18">
        <v>3</v>
      </c>
      <c r="E471" s="18">
        <v>1</v>
      </c>
      <c r="F471" s="18">
        <v>8.01</v>
      </c>
    </row>
    <row r="472" spans="1:6" ht="18" customHeight="1">
      <c r="A472" s="24">
        <v>1561812.32</v>
      </c>
      <c r="B472" s="23">
        <v>85.36</v>
      </c>
      <c r="C472" s="26">
        <v>2</v>
      </c>
      <c r="D472" s="23">
        <v>3</v>
      </c>
      <c r="E472" s="23">
        <v>0</v>
      </c>
      <c r="F472" s="23">
        <v>33.25</v>
      </c>
    </row>
    <row r="473" spans="1:6" ht="18" customHeight="1">
      <c r="A473" s="19">
        <v>288445.49</v>
      </c>
      <c r="B473" s="18">
        <v>69.11</v>
      </c>
      <c r="C473" s="25">
        <v>5</v>
      </c>
      <c r="D473" s="18">
        <v>1</v>
      </c>
      <c r="E473" s="18">
        <v>1</v>
      </c>
      <c r="F473" s="18">
        <v>18.649999999999999</v>
      </c>
    </row>
    <row r="474" spans="1:6" ht="18" customHeight="1">
      <c r="A474" s="24">
        <v>350885.31</v>
      </c>
      <c r="B474" s="23">
        <v>43.55</v>
      </c>
      <c r="C474" s="26">
        <v>4</v>
      </c>
      <c r="D474" s="23">
        <v>3</v>
      </c>
      <c r="E474" s="23">
        <v>0</v>
      </c>
      <c r="F474" s="23">
        <v>18.52</v>
      </c>
    </row>
    <row r="475" spans="1:6" ht="18" customHeight="1">
      <c r="A475" s="19">
        <v>840558.48</v>
      </c>
      <c r="B475" s="18">
        <v>23.37</v>
      </c>
      <c r="C475" s="25">
        <v>2</v>
      </c>
      <c r="D475" s="18">
        <v>4</v>
      </c>
      <c r="E475" s="18">
        <v>0</v>
      </c>
      <c r="F475" s="18">
        <v>19.690000000000001</v>
      </c>
    </row>
    <row r="476" spans="1:6" ht="18" customHeight="1">
      <c r="A476" s="24">
        <v>62280.63</v>
      </c>
      <c r="B476" s="23">
        <v>70.650000000000006</v>
      </c>
      <c r="C476" s="26">
        <v>8</v>
      </c>
      <c r="D476" s="23">
        <v>2</v>
      </c>
      <c r="E476" s="23">
        <v>1</v>
      </c>
      <c r="F476" s="23">
        <v>39.82</v>
      </c>
    </row>
    <row r="477" spans="1:6" ht="18" customHeight="1">
      <c r="A477" s="19">
        <v>266271.84999999998</v>
      </c>
      <c r="B477" s="18">
        <v>60.93</v>
      </c>
      <c r="C477" s="25">
        <v>3</v>
      </c>
      <c r="D477" s="18">
        <v>4</v>
      </c>
      <c r="E477" s="18">
        <v>1</v>
      </c>
      <c r="F477" s="18">
        <v>34.979999999999997</v>
      </c>
    </row>
    <row r="478" spans="1:6" ht="18" customHeight="1">
      <c r="A478" s="24">
        <v>562801.92000000004</v>
      </c>
      <c r="B478" s="23">
        <v>93.95</v>
      </c>
      <c r="C478" s="26">
        <v>8</v>
      </c>
      <c r="D478" s="23">
        <v>4</v>
      </c>
      <c r="E478" s="23">
        <v>0</v>
      </c>
      <c r="F478" s="23">
        <v>5.39</v>
      </c>
    </row>
    <row r="479" spans="1:6" ht="18" customHeight="1">
      <c r="A479" s="19">
        <v>1329995.7</v>
      </c>
      <c r="B479" s="18">
        <v>75.069999999999993</v>
      </c>
      <c r="C479" s="25">
        <v>4</v>
      </c>
      <c r="D479" s="18">
        <v>2</v>
      </c>
      <c r="E479" s="18">
        <v>1</v>
      </c>
      <c r="F479" s="18">
        <v>17.28</v>
      </c>
    </row>
    <row r="480" spans="1:6" ht="18" customHeight="1">
      <c r="A480" s="24">
        <v>341512.81</v>
      </c>
      <c r="B480" s="23">
        <v>18.68</v>
      </c>
      <c r="C480" s="26">
        <v>5</v>
      </c>
      <c r="D480" s="23">
        <v>3</v>
      </c>
      <c r="E480" s="23">
        <v>1</v>
      </c>
      <c r="F480" s="23">
        <v>33.72</v>
      </c>
    </row>
    <row r="481" spans="1:6" ht="18" customHeight="1">
      <c r="A481" s="19">
        <v>700563.17</v>
      </c>
      <c r="B481" s="18">
        <v>71.900000000000006</v>
      </c>
      <c r="C481" s="25">
        <v>4</v>
      </c>
      <c r="D481" s="18">
        <v>4</v>
      </c>
      <c r="E481" s="18">
        <v>0</v>
      </c>
      <c r="F481" s="18">
        <v>48.81</v>
      </c>
    </row>
    <row r="482" spans="1:6" ht="18" customHeight="1">
      <c r="A482" s="24">
        <v>597467.84</v>
      </c>
      <c r="B482" s="23">
        <v>31.88</v>
      </c>
      <c r="C482" s="26">
        <v>4</v>
      </c>
      <c r="D482" s="23">
        <v>3</v>
      </c>
      <c r="E482" s="23">
        <v>0</v>
      </c>
      <c r="F482" s="23">
        <v>45.62</v>
      </c>
    </row>
    <row r="483" spans="1:6" ht="18" customHeight="1">
      <c r="A483" s="19">
        <v>4192116.08</v>
      </c>
      <c r="B483" s="18">
        <v>91.76</v>
      </c>
      <c r="C483" s="25">
        <v>3</v>
      </c>
      <c r="D483" s="18">
        <v>4</v>
      </c>
      <c r="E483" s="18">
        <v>1</v>
      </c>
      <c r="F483" s="18">
        <v>12.49</v>
      </c>
    </row>
    <row r="484" spans="1:6" ht="18" customHeight="1">
      <c r="A484" s="24">
        <v>970387.34</v>
      </c>
      <c r="B484" s="23">
        <v>11.64</v>
      </c>
      <c r="C484" s="26">
        <v>4</v>
      </c>
      <c r="D484" s="23">
        <v>2</v>
      </c>
      <c r="E484" s="23">
        <v>1</v>
      </c>
      <c r="F484" s="23">
        <v>3.4</v>
      </c>
    </row>
    <row r="485" spans="1:6" ht="18" customHeight="1">
      <c r="A485" s="19">
        <v>459068.67</v>
      </c>
      <c r="B485" s="18">
        <v>30.26</v>
      </c>
      <c r="C485" s="25">
        <v>4</v>
      </c>
      <c r="D485" s="18">
        <v>1</v>
      </c>
      <c r="E485" s="18">
        <v>1</v>
      </c>
      <c r="F485" s="18">
        <v>28.71</v>
      </c>
    </row>
    <row r="486" spans="1:6" ht="18" customHeight="1">
      <c r="A486" s="24">
        <v>223515.9</v>
      </c>
      <c r="B486" s="23">
        <v>52.41</v>
      </c>
      <c r="C486" s="26">
        <v>5</v>
      </c>
      <c r="D486" s="23">
        <v>1</v>
      </c>
      <c r="E486" s="23">
        <v>0</v>
      </c>
      <c r="F486" s="23">
        <v>20.37</v>
      </c>
    </row>
    <row r="487" spans="1:6" ht="18" customHeight="1">
      <c r="A487" s="19">
        <v>252084.57</v>
      </c>
      <c r="B487" s="18">
        <v>16.72</v>
      </c>
      <c r="C487" s="25">
        <v>3</v>
      </c>
      <c r="D487" s="18">
        <v>5</v>
      </c>
      <c r="E487" s="18">
        <v>1</v>
      </c>
      <c r="F487" s="18">
        <v>9.25</v>
      </c>
    </row>
    <row r="488" spans="1:6" ht="18" customHeight="1">
      <c r="A488" s="24">
        <v>1120102.77</v>
      </c>
      <c r="B488" s="23">
        <v>39.25</v>
      </c>
      <c r="C488" s="26">
        <v>2</v>
      </c>
      <c r="D488" s="23">
        <v>2</v>
      </c>
      <c r="E488" s="23">
        <v>1</v>
      </c>
      <c r="F488" s="23">
        <v>32.619999999999997</v>
      </c>
    </row>
    <row r="489" spans="1:6" ht="18" customHeight="1">
      <c r="A489" s="19">
        <v>314863.71999999997</v>
      </c>
      <c r="B489" s="18">
        <v>52.26</v>
      </c>
      <c r="C489" s="25">
        <v>4</v>
      </c>
      <c r="D489" s="18">
        <v>4</v>
      </c>
      <c r="E489" s="18">
        <v>1</v>
      </c>
      <c r="F489" s="18">
        <v>8.1</v>
      </c>
    </row>
    <row r="490" spans="1:6" ht="18" customHeight="1">
      <c r="A490" s="24">
        <v>140770.79999999999</v>
      </c>
      <c r="B490" s="23">
        <v>47.99</v>
      </c>
      <c r="C490" s="26">
        <v>6</v>
      </c>
      <c r="D490" s="23">
        <v>2</v>
      </c>
      <c r="E490" s="23">
        <v>1</v>
      </c>
      <c r="F490" s="23">
        <v>17.64</v>
      </c>
    </row>
    <row r="491" spans="1:6" ht="18" customHeight="1">
      <c r="A491" s="19">
        <v>224200.67</v>
      </c>
      <c r="B491" s="18">
        <v>49.15</v>
      </c>
      <c r="C491" s="25">
        <v>6</v>
      </c>
      <c r="D491" s="18">
        <v>1</v>
      </c>
      <c r="E491" s="18">
        <v>1</v>
      </c>
      <c r="F491" s="18">
        <v>39.75</v>
      </c>
    </row>
    <row r="492" spans="1:6" ht="18" customHeight="1">
      <c r="A492" s="24">
        <v>518100.24</v>
      </c>
      <c r="B492" s="23">
        <v>84.72</v>
      </c>
      <c r="C492" s="26">
        <v>2</v>
      </c>
      <c r="D492" s="23">
        <v>2</v>
      </c>
      <c r="E492" s="23">
        <v>0</v>
      </c>
      <c r="F492" s="23">
        <v>34.25</v>
      </c>
    </row>
    <row r="493" spans="1:6" ht="18" customHeight="1">
      <c r="A493" s="19">
        <v>2728159.6</v>
      </c>
      <c r="B493" s="18">
        <v>52.95</v>
      </c>
      <c r="C493" s="25">
        <v>2</v>
      </c>
      <c r="D493" s="18">
        <v>3</v>
      </c>
      <c r="E493" s="18">
        <v>0</v>
      </c>
      <c r="F493" s="18">
        <v>30.4</v>
      </c>
    </row>
    <row r="494" spans="1:6" ht="18" customHeight="1">
      <c r="A494" s="24">
        <v>560858.76</v>
      </c>
      <c r="B494" s="23">
        <v>89.99</v>
      </c>
      <c r="C494" s="26">
        <v>6</v>
      </c>
      <c r="D494" s="23">
        <v>1</v>
      </c>
      <c r="E494" s="23">
        <v>1</v>
      </c>
      <c r="F494" s="23">
        <v>46.55</v>
      </c>
    </row>
    <row r="495" spans="1:6" ht="18" customHeight="1">
      <c r="A495" s="19">
        <v>657765.74</v>
      </c>
      <c r="B495" s="18">
        <v>22.56</v>
      </c>
      <c r="C495" s="25">
        <v>3</v>
      </c>
      <c r="D495" s="18">
        <v>5</v>
      </c>
      <c r="E495" s="18">
        <v>1</v>
      </c>
      <c r="F495" s="18">
        <v>6.36</v>
      </c>
    </row>
    <row r="496" spans="1:6" ht="18" customHeight="1">
      <c r="A496" s="24">
        <v>481846.75</v>
      </c>
      <c r="B496" s="23">
        <v>33.82</v>
      </c>
      <c r="C496" s="26">
        <v>10</v>
      </c>
      <c r="D496" s="23">
        <v>4</v>
      </c>
      <c r="E496" s="23">
        <v>1</v>
      </c>
      <c r="F496" s="23">
        <v>34.58</v>
      </c>
    </row>
    <row r="497" spans="1:6" ht="18" customHeight="1">
      <c r="A497" s="19">
        <v>1038485.34</v>
      </c>
      <c r="B497" s="18">
        <v>65.8</v>
      </c>
      <c r="C497" s="25">
        <v>2</v>
      </c>
      <c r="D497" s="18">
        <v>1</v>
      </c>
      <c r="E497" s="18">
        <v>1</v>
      </c>
      <c r="F497" s="18">
        <v>5.95</v>
      </c>
    </row>
    <row r="498" spans="1:6" ht="18" customHeight="1">
      <c r="A498" s="24">
        <v>197100.69</v>
      </c>
      <c r="B498" s="23">
        <v>34.07</v>
      </c>
      <c r="C498" s="26">
        <v>6</v>
      </c>
      <c r="D498" s="23">
        <v>4</v>
      </c>
      <c r="E498" s="23">
        <v>1</v>
      </c>
      <c r="F498" s="23">
        <v>6.91</v>
      </c>
    </row>
    <row r="499" spans="1:6" ht="18" customHeight="1">
      <c r="A499" s="19">
        <v>618116.92000000004</v>
      </c>
      <c r="B499" s="18">
        <v>39.520000000000003</v>
      </c>
      <c r="C499" s="25">
        <v>8</v>
      </c>
      <c r="D499" s="18">
        <v>3</v>
      </c>
      <c r="E499" s="18">
        <v>0</v>
      </c>
      <c r="F499" s="18">
        <v>25.37</v>
      </c>
    </row>
    <row r="500" spans="1:6" ht="18" customHeight="1">
      <c r="A500" s="24">
        <v>547932.9</v>
      </c>
      <c r="B500" s="23">
        <v>86.59</v>
      </c>
      <c r="C500" s="26">
        <v>5</v>
      </c>
      <c r="D500" s="23">
        <v>5</v>
      </c>
      <c r="E500" s="23">
        <v>1</v>
      </c>
      <c r="F500" s="23">
        <v>1.3</v>
      </c>
    </row>
    <row r="501" spans="1:6" ht="18" customHeight="1">
      <c r="A501" s="19">
        <v>212822.63</v>
      </c>
      <c r="B501" s="18">
        <v>55.78</v>
      </c>
      <c r="C501" s="25">
        <v>5</v>
      </c>
      <c r="D501" s="18">
        <v>1</v>
      </c>
      <c r="E501" s="18">
        <v>1</v>
      </c>
      <c r="F501" s="18">
        <v>25.1</v>
      </c>
    </row>
    <row r="502" spans="1:6" ht="18" customHeight="1">
      <c r="A502" s="24">
        <v>589591.09</v>
      </c>
      <c r="B502" s="23">
        <v>38.450000000000003</v>
      </c>
      <c r="C502" s="26">
        <v>3</v>
      </c>
      <c r="D502" s="23">
        <v>3</v>
      </c>
      <c r="E502" s="23">
        <v>0</v>
      </c>
      <c r="F502" s="23">
        <v>0.56999999999999995</v>
      </c>
    </row>
    <row r="503" spans="1:6" ht="18" customHeight="1">
      <c r="A503" s="19">
        <v>195412.81</v>
      </c>
      <c r="B503" s="18">
        <v>76.02</v>
      </c>
      <c r="C503" s="25">
        <v>6</v>
      </c>
      <c r="D503" s="18">
        <v>2</v>
      </c>
      <c r="E503" s="18">
        <v>0</v>
      </c>
      <c r="F503" s="18">
        <v>30.16</v>
      </c>
    </row>
    <row r="504" spans="1:6" ht="18" customHeight="1">
      <c r="A504" s="24">
        <v>172971.51999999999</v>
      </c>
      <c r="B504" s="23">
        <v>16.010000000000002</v>
      </c>
      <c r="C504" s="26">
        <v>5</v>
      </c>
      <c r="D504" s="23">
        <v>4</v>
      </c>
      <c r="E504" s="23">
        <v>0</v>
      </c>
      <c r="F504" s="23">
        <v>15.67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4"/>
  <sheetViews>
    <sheetView workbookViewId="0"/>
  </sheetViews>
  <sheetFormatPr defaultRowHeight="14.4"/>
  <cols>
    <col min="1" max="2" width="40" customWidth="1"/>
    <col min="3" max="3" width="16" customWidth="1"/>
    <col min="4" max="4" width="26" customWidth="1"/>
    <col min="5" max="5" width="40" customWidth="1"/>
    <col min="6" max="6" width="12" customWidth="1"/>
  </cols>
  <sheetData>
    <row r="1" spans="1:6" ht="25.05" customHeight="1">
      <c r="A1" s="54" t="s">
        <v>104</v>
      </c>
      <c r="B1" s="29"/>
      <c r="C1" s="29"/>
      <c r="D1" s="29"/>
      <c r="E1" s="29"/>
      <c r="F1" s="29"/>
    </row>
    <row r="2" spans="1:6" ht="18" customHeight="1">
      <c r="A2" s="41" t="s">
        <v>105</v>
      </c>
      <c r="B2" s="29"/>
      <c r="C2" s="29"/>
      <c r="D2" s="29"/>
      <c r="E2" s="29"/>
      <c r="F2" s="29"/>
    </row>
    <row r="4" spans="1:6" ht="17.399999999999999">
      <c r="A4" s="1" t="s">
        <v>106</v>
      </c>
    </row>
    <row r="5" spans="1:6" ht="34.950000000000003" customHeight="1">
      <c r="A5" s="57" t="s">
        <v>107</v>
      </c>
      <c r="B5" s="29"/>
      <c r="C5" s="29"/>
      <c r="D5" s="29"/>
      <c r="E5" s="29"/>
      <c r="F5" s="29"/>
    </row>
    <row r="6" spans="1:6" ht="34.950000000000003" customHeight="1">
      <c r="A6" s="58" t="s">
        <v>108</v>
      </c>
      <c r="B6" s="29"/>
      <c r="C6" s="29"/>
      <c r="D6" s="29"/>
      <c r="E6" s="29"/>
      <c r="F6" s="29"/>
    </row>
    <row r="8" spans="1:6" ht="17.399999999999999">
      <c r="A8" s="1" t="s">
        <v>109</v>
      </c>
    </row>
    <row r="9" spans="1:6" ht="19.95" customHeight="1">
      <c r="A9" s="15" t="s">
        <v>110</v>
      </c>
      <c r="B9" s="56" t="s">
        <v>111</v>
      </c>
      <c r="C9" s="29"/>
      <c r="D9" s="29"/>
      <c r="E9" s="29"/>
      <c r="F9" s="29"/>
    </row>
    <row r="10" spans="1:6" ht="19.95" customHeight="1">
      <c r="A10" s="15" t="s">
        <v>112</v>
      </c>
      <c r="B10" s="56" t="s">
        <v>113</v>
      </c>
      <c r="C10" s="29"/>
      <c r="D10" s="29"/>
      <c r="E10" s="29"/>
      <c r="F10" s="29"/>
    </row>
    <row r="11" spans="1:6" ht="19.95" customHeight="1">
      <c r="A11" s="15" t="s">
        <v>114</v>
      </c>
      <c r="B11" s="56" t="s">
        <v>115</v>
      </c>
      <c r="C11" s="29"/>
      <c r="D11" s="29"/>
      <c r="E11" s="29"/>
      <c r="F11" s="29"/>
    </row>
    <row r="12" spans="1:6" ht="19.95" customHeight="1">
      <c r="A12" s="15" t="s">
        <v>116</v>
      </c>
      <c r="B12" s="56" t="s">
        <v>117</v>
      </c>
      <c r="C12" s="29"/>
      <c r="D12" s="29"/>
      <c r="E12" s="29"/>
      <c r="F12" s="29"/>
    </row>
    <row r="14" spans="1:6" ht="17.399999999999999">
      <c r="A14" s="1" t="s">
        <v>118</v>
      </c>
    </row>
    <row r="15" spans="1:6" ht="24" customHeight="1">
      <c r="A15" s="2" t="s">
        <v>119</v>
      </c>
      <c r="B15" s="2" t="s">
        <v>120</v>
      </c>
      <c r="C15" s="2" t="s">
        <v>121</v>
      </c>
      <c r="D15" s="2" t="s">
        <v>122</v>
      </c>
      <c r="E15" s="2" t="s">
        <v>123</v>
      </c>
    </row>
    <row r="16" spans="1:6" ht="19.95" customHeight="1">
      <c r="A16" s="27" t="s">
        <v>124</v>
      </c>
      <c r="B16" s="16" t="s">
        <v>125</v>
      </c>
      <c r="C16" s="16" t="s">
        <v>126</v>
      </c>
      <c r="D16" s="16" t="s">
        <v>127</v>
      </c>
      <c r="E16" s="3" t="s">
        <v>128</v>
      </c>
    </row>
    <row r="17" spans="1:5" ht="19.95" customHeight="1">
      <c r="A17" s="5" t="s">
        <v>129</v>
      </c>
      <c r="B17" s="21" t="s">
        <v>130</v>
      </c>
      <c r="C17" s="21" t="s">
        <v>45</v>
      </c>
      <c r="D17" s="21" t="s">
        <v>127</v>
      </c>
      <c r="E17" s="20" t="s">
        <v>131</v>
      </c>
    </row>
    <row r="18" spans="1:5" ht="19.95" customHeight="1">
      <c r="A18" s="27" t="s">
        <v>132</v>
      </c>
      <c r="B18" s="16" t="s">
        <v>133</v>
      </c>
      <c r="C18" s="16" t="s">
        <v>134</v>
      </c>
      <c r="D18" s="16" t="s">
        <v>127</v>
      </c>
      <c r="E18" s="3" t="s">
        <v>135</v>
      </c>
    </row>
    <row r="19" spans="1:5" ht="19.95" customHeight="1">
      <c r="A19" s="5" t="s">
        <v>136</v>
      </c>
      <c r="B19" s="21" t="s">
        <v>133</v>
      </c>
      <c r="C19" s="21" t="s">
        <v>137</v>
      </c>
      <c r="D19" s="21" t="s">
        <v>127</v>
      </c>
      <c r="E19" s="20" t="s">
        <v>138</v>
      </c>
    </row>
    <row r="20" spans="1:5" ht="19.95" customHeight="1">
      <c r="A20" s="27" t="s">
        <v>139</v>
      </c>
      <c r="B20" s="16" t="s">
        <v>133</v>
      </c>
      <c r="C20" s="16" t="s">
        <v>140</v>
      </c>
      <c r="D20" s="16" t="s">
        <v>127</v>
      </c>
      <c r="E20" s="3" t="s">
        <v>141</v>
      </c>
    </row>
    <row r="21" spans="1:5" ht="19.95" customHeight="1">
      <c r="A21" s="5" t="s">
        <v>142</v>
      </c>
      <c r="B21" s="21" t="s">
        <v>133</v>
      </c>
      <c r="C21" s="21" t="s">
        <v>143</v>
      </c>
      <c r="D21" s="21" t="s">
        <v>144</v>
      </c>
      <c r="E21" s="20" t="s">
        <v>145</v>
      </c>
    </row>
    <row r="22" spans="1:5" ht="19.95" customHeight="1">
      <c r="A22" s="27" t="s">
        <v>146</v>
      </c>
      <c r="B22" s="16" t="s">
        <v>133</v>
      </c>
      <c r="C22" s="16" t="s">
        <v>147</v>
      </c>
      <c r="D22" s="16" t="s">
        <v>148</v>
      </c>
      <c r="E22" s="3" t="s">
        <v>149</v>
      </c>
    </row>
    <row r="23" spans="1:5" ht="19.95" customHeight="1">
      <c r="A23" s="5" t="s">
        <v>150</v>
      </c>
      <c r="B23" s="21" t="s">
        <v>133</v>
      </c>
      <c r="C23" s="21" t="s">
        <v>151</v>
      </c>
      <c r="D23" s="21" t="s">
        <v>152</v>
      </c>
      <c r="E23" s="20" t="s">
        <v>153</v>
      </c>
    </row>
    <row r="24" spans="1:5" ht="19.95" customHeight="1">
      <c r="A24" s="27" t="s">
        <v>154</v>
      </c>
      <c r="B24" s="16" t="s">
        <v>155</v>
      </c>
      <c r="C24" s="16" t="s">
        <v>156</v>
      </c>
      <c r="D24" s="16" t="s">
        <v>157</v>
      </c>
      <c r="E24" s="3" t="s">
        <v>158</v>
      </c>
    </row>
  </sheetData>
  <mergeCells count="8">
    <mergeCell ref="A2:F2"/>
    <mergeCell ref="B12:F12"/>
    <mergeCell ref="B10:F10"/>
    <mergeCell ref="A1:F1"/>
    <mergeCell ref="A5:F5"/>
    <mergeCell ref="B11:F11"/>
    <mergeCell ref="A6:F6"/>
    <mergeCell ref="B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📊 Dashboard Eksekutif</vt:lpstr>
      <vt:lpstr>🗺️ Mustahik Geospasial Jatim</vt:lpstr>
      <vt:lpstr>⚖️ Evaluasi Model</vt:lpstr>
      <vt:lpstr>🏠 Data Rumah Tangga</vt:lpstr>
      <vt:lpstr>📖 Syariah &amp; Kamus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IZAM ROSIAWAN</cp:lastModifiedBy>
  <dcterms:created xsi:type="dcterms:W3CDTF">2026-08-08T02:39:58Z</dcterms:created>
  <dcterms:modified xsi:type="dcterms:W3CDTF">2026-08-08T02:43:03Z</dcterms:modified>
</cp:coreProperties>
</file>